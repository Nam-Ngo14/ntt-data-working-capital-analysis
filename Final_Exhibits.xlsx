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e50a70751f45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bafe4c0b9c44757"/>
    <x:sheet xmlns:r="http://schemas.openxmlformats.org/officeDocument/2006/relationships" name="NTT Historical Data" sheetId="2" r:id="R66e7dda2dcc240ac"/>
    <x:sheet xmlns:r="http://schemas.openxmlformats.org/officeDocument/2006/relationships" name="Peer Benchmark Data" sheetId="3" r:id="R9fe6b6a31e59413a"/>
    <x:sheet xmlns:r="http://schemas.openxmlformats.org/officeDocument/2006/relationships" name="Opportunity Data" sheetId="4" r:id="Rfc5fbb59e4244a45"/>
    <x:sheet xmlns:r="http://schemas.openxmlformats.org/officeDocument/2006/relationships" name="Exhibit 1 - Operating Cycle" sheetId="5" r:id="Reee6d889b7a94499"/>
    <x:sheet xmlns:r="http://schemas.openxmlformats.org/officeDocument/2006/relationships" name="Exhibit 2 - DSO Trend" sheetId="6" r:id="Rce0db682ec8a412c"/>
    <x:sheet xmlns:r="http://schemas.openxmlformats.org/officeDocument/2006/relationships" name="Exhibit 3 - Peer DSO" sheetId="7" r:id="Re6278fbd8ae64e83"/>
    <x:sheet xmlns:r="http://schemas.openxmlformats.org/officeDocument/2006/relationships" name="Exhibit 4 - WC Context" sheetId="8" r:id="R4a0fd60466414046"/>
    <x:sheet xmlns:r="http://schemas.openxmlformats.org/officeDocument/2006/relationships" name="Exhibit 5 - DSO Scenarios" sheetId="9" r:id="Re7d5c0a075e64df7"/>
    <x:sheet xmlns:r="http://schemas.openxmlformats.org/officeDocument/2006/relationships" name="Exhibit 6 - Opportunity" sheetId="10" r:id="R55351d8149894d70"/>
    <x:sheet xmlns:r="http://schemas.openxmlformats.org/officeDocument/2006/relationships" name="Sources" sheetId="11" r:id="R50a5e1a6f5ea4fea"/>
    <x:sheet xmlns:r="http://schemas.openxmlformats.org/officeDocument/2006/relationships" name="Final QA" sheetId="12" r:id="R93f00f76414b41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"/>
    <x:numFmt numFmtId="201" formatCode="0.0%"/>
    <x:numFmt numFmtId="202" formatCode="+0.0;-0.0;-"/>
    <x:numFmt numFmtId="203" formatCode="+0.0%;-0.0%;-"/>
    <x:numFmt numFmtId="204" formatCode="&quot;¥&quot;#,##0.0"/>
    <x:numFmt numFmtId="205" formatCode="0.00%"/>
    <x:numFmt numFmtId="206" formatCode="0%"/>
  </x:numFmts>
  <x:fonts count="13">
    <x:font>
      <x:sz val="11"/>
      <x:name val="Carlito"/>
    </x:font>
    <x:font>
      <x:sz val="10"/>
      <x:color rgb="FF1F2937"/>
      <x:name val="Arial"/>
    </x:font>
    <x:font>
      <x:b/>
      <x:sz val="16"/>
      <x:color rgb="FF0B1F33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b/>
      <x:sz val="10"/>
      <x:color rgb="FF0B1F33"/>
      <x:name val="Arial"/>
    </x:font>
    <x:font>
      <x:b/>
      <x:sz val="11"/>
      <x:color rgb="FF0B1F33"/>
      <x:name val="Arial"/>
    </x:font>
    <x:font>
      <x:sz val="10"/>
      <x:color rgb="FF667085"/>
      <x:name val="Arial"/>
    </x:font>
    <x:font>
      <x:b/>
      <x:sz val="22"/>
      <x:color rgb="FF2F75B5"/>
      <x:name val="Arial"/>
    </x:font>
    <x:font>
      <x:b/>
      <x:sz val="9"/>
      <x:color rgb="FF0B1F33"/>
      <x:name val="Arial"/>
    </x:font>
    <x:font>
      <x:b/>
      <x:sz val="14"/>
      <x:color rgb="FF0B1F33"/>
      <x:name val="Arial"/>
    </x:font>
    <x:font>
      <x:b/>
      <x:sz val="10"/>
      <x:color rgb="FF1E6B45"/>
      <x:name val="Arial"/>
    </x:font>
    <x:font>
      <x:i/>
      <x:sz val="9"/>
      <x:color rgb="FF667085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DF4FA"/>
      </x:patternFill>
    </x:fill>
    <x:fill>
      <x:patternFill patternType="solid">
        <x:fgColor rgb="FF0B1F33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2F4F7"/>
      </x:patternFill>
    </x:fill>
    <x:fill>
      <x:patternFill patternType="solid">
        <x:fgColor rgb="FFFCE8E6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</x:fills>
  <x:borders count="42">
    <x:border/>
    <x:border>
      <x:bottom style="medium">
        <x:color rgb="FF1F4E78"/>
      </x:bottom>
    </x:border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2F75B5"/>
      </x:left>
      <x:top style="thin">
        <x:color rgb="FF2F75B5"/>
      </x:top>
    </x:border>
    <x:border>
      <x:top style="thin">
        <x:color rgb="FF2F75B5"/>
      </x:top>
    </x:border>
    <x:border>
      <x:right style="thin">
        <x:color rgb="FF2F75B5"/>
      </x:right>
      <x:top style="thin">
        <x:color rgb="FF2F75B5"/>
      </x:top>
    </x:border>
    <x:border>
      <x:left style="thin">
        <x:color rgb="FF2F75B5"/>
      </x:left>
    </x:border>
    <x:border>
      <x:right style="thin">
        <x:color rgb="FF2F75B5"/>
      </x:right>
    </x:border>
    <x:border>
      <x:left style="thin">
        <x:color rgb="FF2F75B5"/>
      </x:left>
      <x:bottom style="thin">
        <x:color rgb="FF2F75B5"/>
      </x:bottom>
    </x:border>
    <x:border>
      <x:bottom style="thin">
        <x:color rgb="FF2F75B5"/>
      </x:bottom>
    </x:border>
    <x:border>
      <x:right style="thin">
        <x:color rgb="FF2F75B5"/>
      </x:right>
      <x:bottom style="thin">
        <x:color rgb="FF2F75B5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right style="thin">
        <x:color rgb="FFFFFFFF"/>
      </x:right>
      <x:bottom style="medium">
        <x:color rgb="FF0B1F33"/>
      </x:bottom>
    </x:border>
    <x:border>
      <x:left style="thin">
        <x:color rgb="FFFFFFFF"/>
      </x:left>
      <x:right style="thin">
        <x:color rgb="FFFFFFFF"/>
      </x:right>
      <x:bottom style="medium">
        <x:color rgb="FF0B1F33"/>
      </x:bottom>
    </x:border>
    <x:border>
      <x:left style="thin">
        <x:color rgb="FFFFFFFF"/>
      </x:left>
      <x:bottom style="medium">
        <x:color rgb="FF0B1F33"/>
      </x:bottom>
    </x:border>
    <x:border>
      <x:left style="medium">
        <x:color rgb="FF1F4E78"/>
      </x:left>
      <x:top style="medium">
        <x:color rgb="FF1F4E78"/>
      </x:top>
    </x:border>
    <x:border>
      <x:top style="medium">
        <x:color rgb="FF1F4E78"/>
      </x:top>
    </x:border>
    <x:border>
      <x:right style="medium">
        <x:color rgb="FF1F4E78"/>
      </x:right>
      <x:top style="medium">
        <x:color rgb="FF1F4E78"/>
      </x:top>
    </x:border>
    <x:border>
      <x:left style="medium">
        <x:color rgb="FF1F4E78"/>
      </x:left>
    </x:border>
    <x:border>
      <x:right style="medium">
        <x:color rgb="FF1F4E78"/>
      </x:right>
    </x:border>
    <x:border>
      <x:left style="medium">
        <x:color rgb="FF1F4E78"/>
      </x:left>
      <x:bottom style="medium">
        <x:color rgb="FF1F4E78"/>
      </x:bottom>
    </x:border>
    <x:border>
      <x:right style="medium">
        <x:color rgb="FF1F4E78"/>
      </x:right>
      <x:bottom style="medium">
        <x:color rgb="FF1F4E78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right style="thin">
        <x:color rgb="FFCBD5E1"/>
      </x:right>
      <x:top style="thin">
        <x:color rgb="FF2F75B5"/>
      </x:top>
    </x:border>
    <x:border>
      <x:left style="thin">
        <x:color rgb="FFD97706"/>
      </x:left>
      <x:top style="thin">
        <x:color rgb="FFD97706"/>
      </x:top>
      <x:bottom style="thin">
        <x:color rgb="FFD97706"/>
      </x:bottom>
    </x:border>
    <x:border>
      <x:top style="thin">
        <x:color rgb="FFD97706"/>
      </x:top>
      <x:bottom style="thin">
        <x:color rgb="FFD97706"/>
      </x:bottom>
    </x:border>
    <x:border>
      <x:right style="thin">
        <x:color rgb="FFD97706"/>
      </x:right>
      <x:top style="thin">
        <x:color rgb="FFD97706"/>
      </x:top>
      <x:bottom style="thin">
        <x:color rgb="FFD97706"/>
      </x:bottom>
    </x:border>
    <x:border>
      <x:left style="thin">
        <x:color rgb="FF1E6B45"/>
      </x:left>
      <x:top style="thin">
        <x:color rgb="FF1E6B45"/>
      </x:top>
      <x:bottom style="thin">
        <x:color rgb="FF1E6B45"/>
      </x:bottom>
    </x:border>
    <x:border>
      <x:top style="thin">
        <x:color rgb="FF1E6B45"/>
      </x:top>
      <x:bottom style="thin">
        <x:color rgb="FF1E6B45"/>
      </x:bottom>
    </x:border>
    <x:border>
      <x:right style="thin">
        <x:color rgb="FF1E6B45"/>
      </x:right>
      <x:top style="thin">
        <x:color rgb="FF1E6B45"/>
      </x:top>
      <x:bottom style="thin">
        <x:color rgb="FF1E6B45"/>
      </x:bottom>
    </x:border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</x:borders>
  <x:cellStyleXfs count="1">
    <x:xf numFmtId="0" fontId="0" fillId="0" borderId="0"/>
  </x:cellStyleXfs>
  <x:cellXfs count="50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6" fillId="3" borderId="6" xfId="0" applyNumberFormat="1" applyFont="1" applyFill="1" applyBorder="1" applyAlignment="1">
      <x:alignment vertical="center"/>
    </x:xf>
    <x:xf numFmtId="0" fontId="6" fillId="3" borderId="7" xfId="0" applyNumberFormat="1" applyFont="1" applyFill="1" applyBorder="1" applyAlignment="1">
      <x:alignment vertical="center"/>
    </x:xf>
    <x:xf numFmtId="0" fontId="6" fillId="3" borderId="8" xfId="0" applyNumberFormat="1" applyFont="1" applyFill="1" applyBorder="1" applyAlignment="1">
      <x:alignment vertical="center"/>
    </x:xf>
    <x:xf numFmtId="0" fontId="6" fillId="3" borderId="9" xfId="0" applyNumberFormat="1" applyFont="1" applyFill="1" applyBorder="1" applyAlignment="1">
      <x:alignment vertical="center"/>
    </x:xf>
    <x:xf numFmtId="0" fontId="6" fillId="3" borderId="10" xfId="0" applyNumberFormat="1" applyFont="1" applyFill="1" applyBorder="1" applyAlignment="1">
      <x:alignment vertical="center"/>
    </x:xf>
    <x:xf numFmtId="0" fontId="6" fillId="3" borderId="11" xfId="0" applyNumberFormat="1" applyFont="1" applyFill="1" applyBorder="1" applyAlignment="1">
      <x:alignment vertical="center"/>
    </x:xf>
    <x:xf numFmtId="0" fontId="6" fillId="3" borderId="12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 wrapText="1"/>
    </x:xf>
    <x:xf numFmtId="0" fontId="6" fillId="3" borderId="6" xfId="0" applyNumberFormat="1" applyFont="1" applyFill="1" applyBorder="1" applyAlignment="1">
      <x:alignment vertical="center" wrapText="1"/>
    </x:xf>
    <x:xf numFmtId="0" fontId="6" fillId="3" borderId="7" xfId="0" applyNumberFormat="1" applyFont="1" applyFill="1" applyBorder="1" applyAlignment="1">
      <x:alignment vertical="center" wrapText="1"/>
    </x:xf>
    <x:xf numFmtId="0" fontId="6" fillId="3" borderId="8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9" xfId="0" applyNumberFormat="1" applyFont="1" applyFill="1" applyBorder="1" applyAlignment="1">
      <x:alignment vertical="center" wrapText="1"/>
    </x:xf>
    <x:xf numFmtId="0" fontId="6" fillId="3" borderId="10" xfId="0" applyNumberFormat="1" applyFont="1" applyFill="1" applyBorder="1" applyAlignment="1">
      <x:alignment vertical="center" wrapText="1"/>
    </x:xf>
    <x:xf numFmtId="0" fontId="6" fillId="3" borderId="11" xfId="0" applyNumberFormat="1" applyFont="1" applyFill="1" applyBorder="1" applyAlignment="1">
      <x:alignment vertical="center" wrapText="1"/>
    </x:xf>
    <x:xf numFmtId="0" fontId="6" fillId="3" borderId="12" xfId="0" applyNumberFormat="1" applyFont="1" applyFill="1" applyBorder="1" applyAlignment="1">
      <x:alignment vertical="center" wrapText="1"/>
    </x:xf>
    <x:xf numFmtId="0" fontId="5" fillId="0" borderId="13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 wrapText="1"/>
    </x:xf>
    <x:xf numFmtId="0" fontId="5" fillId="0" borderId="14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/>
    </x:xf>
    <x:xf numFmtId="0" fontId="4" fillId="2" borderId="14" xfId="0" applyNumberFormat="1" applyFont="1" applyFill="1" applyBorder="1" applyAlignment="1">
      <x:alignment vertical="center"/>
    </x:xf>
    <x:xf numFmtId="0" fontId="6" fillId="3" borderId="14" xfId="0" applyNumberFormat="1" applyFont="1" applyFill="1" applyBorder="1" applyAlignment="1">
      <x:alignment vertical="center" wrapText="1"/>
    </x:xf>
    <x:xf numFmtId="0" fontId="5" fillId="0" borderId="15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6" xfId="0" applyNumberFormat="1" applyFont="1" applyFill="1" applyBorder="1" applyAlignment="1">
      <x:alignment vertical="center"/>
    </x:xf>
    <x:xf numFmtId="0" fontId="4" fillId="4" borderId="17" xfId="0" applyNumberFormat="1" applyFont="1" applyFill="1" applyBorder="1" applyAlignment="1">
      <x:alignment vertical="center"/>
    </x:xf>
    <x:xf numFmtId="0" fontId="4" fillId="4" borderId="18" xfId="0" applyNumberFormat="1" applyFont="1" applyFill="1" applyBorder="1" applyAlignment="1">
      <x:alignment vertical="center"/>
    </x:xf>
    <x:xf numFmtId="0" fontId="4" fillId="4" borderId="16" xfId="0" applyNumberFormat="1" applyFont="1" applyFill="1" applyBorder="1" applyAlignment="1">
      <x:alignment vertical="center" wrapText="1"/>
    </x:xf>
    <x:xf numFmtId="0" fontId="4" fillId="4" borderId="17" xfId="0" applyNumberFormat="1" applyFont="1" applyFill="1" applyBorder="1" applyAlignment="1">
      <x:alignment vertical="center" wrapText="1"/>
    </x:xf>
    <x:xf numFmtId="0" fontId="4" fillId="4" borderId="18" xfId="0" applyNumberFormat="1" applyFont="1" applyFill="1" applyBorder="1" applyAlignment="1">
      <x:alignment vertical="center" wrapText="1"/>
    </x:xf>
    <x:xf numFmtId="0" fontId="4" fillId="4" borderId="16" xfId="0" applyNumberFormat="1" applyFont="1" applyFill="1" applyBorder="1" applyAlignment="1">
      <x:alignment horizontal="center" vertical="center" wrapText="1"/>
    </x:xf>
    <x:xf numFmtId="0" fontId="4" fillId="4" borderId="17" xfId="0" applyNumberFormat="1" applyFont="1" applyFill="1" applyBorder="1" applyAlignment="1">
      <x:alignment horizontal="center" vertical="center" wrapText="1"/>
    </x:xf>
    <x:xf numFmtId="0" fontId="4" fillId="4" borderId="18" xfId="0" applyNumberFormat="1" applyFont="1" applyFill="1" applyBorder="1" applyAlignment="1">
      <x:alignment horizontal="center" vertical="center" wrapText="1"/>
    </x:xf>
    <x:xf numFmtId="0" fontId="1" fillId="0" borderId="13" xfId="0" applyNumberFormat="1" applyFont="1" applyFill="1" applyBorder="1" applyAlignment="1">
      <x:alignment vertical="center"/>
    </x:xf>
    <x:xf numFmtId="200" fontId="1" fillId="0" borderId="13" xfId="0" applyNumberFormat="1" applyFont="1" applyFill="1" applyBorder="1" applyAlignment="1">
      <x:alignment vertical="center"/>
    </x:xf>
    <x:xf numFmtId="200" fontId="1" fillId="0" borderId="14" xfId="0" applyNumberFormat="1" applyFont="1" applyFill="1" applyBorder="1" applyAlignment="1">
      <x:alignment vertical="center"/>
    </x:xf>
    <x:xf numFmtId="200" fontId="1" fillId="0" borderId="13" xfId="0" applyNumberFormat="1" applyFont="1" applyFill="1" applyBorder="1" applyAlignment="1">
      <x:alignment horizontal="right" vertical="center"/>
    </x:xf>
    <x:xf numFmtId="200" fontId="1" fillId="0" borderId="14" xfId="0" applyNumberFormat="1" applyFont="1" applyFill="1" applyBorder="1" applyAlignment="1">
      <x:alignment horizontal="right" vertical="center"/>
    </x:xf>
    <x:xf numFmtId="200" fontId="1" fillId="0" borderId="13" xfId="0" applyNumberFormat="1" applyFont="1" applyFill="1" applyBorder="1" applyAlignment="1">
      <x:alignment horizontal="center" vertical="center"/>
    </x:xf>
    <x:xf numFmtId="200" fontId="1" fillId="0" borderId="14" xfId="0" applyNumberFormat="1" applyFont="1" applyFill="1" applyBorder="1" applyAlignment="1">
      <x:alignment horizontal="center" vertical="center"/>
    </x:xf>
    <x:xf numFmtId="0" fontId="1" fillId="5" borderId="14" xfId="0" applyNumberFormat="1" applyFont="1" applyFill="1" applyBorder="1" applyAlignment="1">
      <x:alignment vertical="center"/>
    </x:xf>
    <x:xf numFmtId="200" fontId="1" fillId="5" borderId="14" xfId="0" applyNumberFormat="1" applyFont="1" applyFill="1" applyBorder="1" applyAlignment="1">
      <x:alignment horizontal="right" vertical="center"/>
    </x:xf>
    <x:xf numFmtId="200" fontId="1" fillId="5" borderId="14" xfId="0" applyNumberFormat="1" applyFont="1" applyFill="1" applyBorder="1" applyAlignment="1">
      <x:alignment horizontal="center" vertical="center"/>
    </x:xf>
    <x:xf numFmtId="0" fontId="1" fillId="5" borderId="14" xfId="0" applyNumberFormat="1" applyFont="1" applyFill="1" applyBorder="1" applyAlignment="1">
      <x:alignment vertical="center" wrapText="1"/>
    </x:xf>
    <x:xf numFmtId="201" fontId="1" fillId="0" borderId="13" xfId="0" applyNumberFormat="1" applyFont="1" applyFill="1" applyBorder="1" applyAlignment="1">
      <x:alignment vertical="center"/>
    </x:xf>
    <x:xf numFmtId="201" fontId="1" fillId="0" borderId="14" xfId="0" applyNumberFormat="1" applyFont="1" applyFill="1" applyBorder="1" applyAlignment="1">
      <x:alignment vertical="center"/>
    </x:xf>
    <x:xf numFmtId="201" fontId="1" fillId="0" borderId="13" xfId="0" applyNumberFormat="1" applyFont="1" applyFill="1" applyBorder="1" applyAlignment="1">
      <x:alignment horizontal="right" vertical="center"/>
    </x:xf>
    <x:xf numFmtId="201" fontId="1" fillId="0" borderId="14" xfId="0" applyNumberFormat="1" applyFont="1" applyFill="1" applyBorder="1" applyAlignment="1">
      <x:alignment horizontal="right" vertical="center"/>
    </x:xf>
    <x:xf numFmtId="0" fontId="1" fillId="6" borderId="13" xfId="0" applyNumberFormat="1" applyFont="1" applyFill="1" applyBorder="1" applyAlignment="1">
      <x:alignment vertical="center"/>
    </x:xf>
    <x:xf numFmtId="200" fontId="1" fillId="6" borderId="13" xfId="0" applyNumberFormat="1" applyFont="1" applyFill="1" applyBorder="1" applyAlignment="1">
      <x:alignment horizontal="right" vertical="center"/>
    </x:xf>
    <x:xf numFmtId="201" fontId="1" fillId="6" borderId="13" xfId="0" applyNumberFormat="1" applyFont="1" applyFill="1" applyBorder="1" applyAlignment="1">
      <x:alignment horizontal="right" vertical="center"/>
    </x:xf>
    <x:xf numFmtId="0" fontId="1" fillId="6" borderId="13" xfId="0" applyNumberFormat="1" applyFont="1" applyFill="1" applyBorder="1" applyAlignment="1">
      <x:alignment vertical="center" wrapText="1"/>
    </x:xf>
    <x:xf numFmtId="0" fontId="1" fillId="7" borderId="14" xfId="0" applyNumberFormat="1" applyFont="1" applyFill="1" applyBorder="1" applyAlignment="1">
      <x:alignment vertical="center"/>
    </x:xf>
    <x:xf numFmtId="200" fontId="1" fillId="7" borderId="14" xfId="0" applyNumberFormat="1" applyFont="1" applyFill="1" applyBorder="1" applyAlignment="1">
      <x:alignment horizontal="right" vertical="center"/>
    </x:xf>
    <x:xf numFmtId="201" fontId="1" fillId="7" borderId="14" xfId="0" applyNumberFormat="1" applyFont="1" applyFill="1" applyBorder="1" applyAlignment="1">
      <x:alignment horizontal="right" vertical="center"/>
    </x:xf>
    <x:xf numFmtId="0" fontId="1" fillId="7" borderId="14" xfId="0" applyNumberFormat="1" applyFont="1" applyFill="1" applyBorder="1" applyAlignment="1">
      <x:alignment vertical="center" wrapText="1"/>
    </x:xf>
    <x:xf numFmtId="0" fontId="5" fillId="7" borderId="14" xfId="0" applyNumberFormat="1" applyFont="1" applyFill="1" applyBorder="1" applyAlignment="1">
      <x:alignment vertical="center"/>
    </x:xf>
    <x:xf numFmtId="200" fontId="5" fillId="7" borderId="14" xfId="0" applyNumberFormat="1" applyFont="1" applyFill="1" applyBorder="1" applyAlignment="1">
      <x:alignment horizontal="right" vertical="center"/>
    </x:xf>
    <x:xf numFmtId="201" fontId="5" fillId="7" borderId="14" xfId="0" applyNumberFormat="1" applyFont="1" applyFill="1" applyBorder="1" applyAlignment="1">
      <x:alignment horizontal="right" vertical="center"/>
    </x:xf>
    <x:xf numFmtId="0" fontId="5" fillId="7" borderId="14" xfId="0" applyNumberFormat="1" applyFont="1" applyFill="1" applyBorder="1" applyAlignment="1">
      <x:alignment vertical="center" wrapText="1"/>
    </x:xf>
    <x:xf numFmtId="202" fontId="1" fillId="0" borderId="13" xfId="0" applyNumberFormat="1" applyFont="1" applyFill="1" applyBorder="1" applyAlignment="1">
      <x:alignment vertical="center"/>
    </x:xf>
    <x:xf numFmtId="202" fontId="1" fillId="0" borderId="14" xfId="0" applyNumberFormat="1" applyFont="1" applyFill="1" applyBorder="1" applyAlignment="1">
      <x:alignment vertical="center"/>
    </x:xf>
    <x:xf numFmtId="203" fontId="1" fillId="0" borderId="14" xfId="0" applyNumberFormat="1" applyFont="1" applyFill="1" applyBorder="1" applyAlignment="1">
      <x:alignment vertical="center"/>
    </x:xf>
    <x:xf numFmtId="202" fontId="1" fillId="0" borderId="13" xfId="0" applyNumberFormat="1" applyFont="1" applyFill="1" applyBorder="1" applyAlignment="1">
      <x:alignment horizontal="right" vertical="center"/>
    </x:xf>
    <x:xf numFmtId="202" fontId="1" fillId="0" borderId="14" xfId="0" applyNumberFormat="1" applyFont="1" applyFill="1" applyBorder="1" applyAlignment="1">
      <x:alignment horizontal="right" vertical="center"/>
    </x:xf>
    <x:xf numFmtId="203" fontId="1" fillId="0" borderId="14" xfId="0" applyNumberFormat="1" applyFont="1" applyFill="1" applyBorder="1" applyAlignment="1">
      <x:alignment horizontal="right" vertical="center"/>
    </x:xf>
    <x:xf numFmtId="202" fontId="1" fillId="0" borderId="13" xfId="0" applyNumberFormat="1" applyFont="1" applyFill="1" applyBorder="1" applyAlignment="1">
      <x:alignment horizontal="center" vertical="center"/>
    </x:xf>
    <x:xf numFmtId="0" fontId="1" fillId="0" borderId="13" xfId="0" applyNumberFormat="1" applyFont="1" applyFill="1" applyBorder="1" applyAlignment="1">
      <x:alignment horizontal="center" vertical="center"/>
    </x:xf>
    <x:xf numFmtId="202" fontId="1" fillId="0" borderId="14" xfId="0" applyNumberFormat="1" applyFont="1" applyFill="1" applyBorder="1" applyAlignment="1">
      <x:alignment horizontal="center" vertical="center"/>
    </x:xf>
    <x:xf numFmtId="0" fontId="1" fillId="0" borderId="14" xfId="0" applyNumberFormat="1" applyFont="1" applyFill="1" applyBorder="1" applyAlignment="1">
      <x:alignment horizontal="center" vertical="center"/>
    </x:xf>
    <x:xf numFmtId="203" fontId="1" fillId="0" borderId="14" xfId="0" applyNumberFormat="1" applyFont="1" applyFill="1" applyBorder="1" applyAlignment="1">
      <x:alignment horizontal="center" vertical="center"/>
    </x:xf>
    <x:xf numFmtId="0" fontId="1" fillId="8" borderId="13" xfId="0" applyNumberFormat="1" applyFont="1" applyFill="1" applyBorder="1" applyAlignment="1">
      <x:alignment vertical="center"/>
    </x:xf>
    <x:xf numFmtId="200" fontId="1" fillId="8" borderId="13" xfId="0" applyNumberFormat="1" applyFont="1" applyFill="1" applyBorder="1" applyAlignment="1">
      <x:alignment horizontal="right" vertical="center"/>
    </x:xf>
    <x:xf numFmtId="202" fontId="1" fillId="8" borderId="13" xfId="0" applyNumberFormat="1" applyFont="1" applyFill="1" applyBorder="1" applyAlignment="1">
      <x:alignment horizontal="center" vertical="center"/>
    </x:xf>
    <x:xf numFmtId="0" fontId="1" fillId="8" borderId="13" xfId="0" applyNumberFormat="1" applyFont="1" applyFill="1" applyBorder="1" applyAlignment="1">
      <x:alignment horizontal="center" vertical="center"/>
    </x:xf>
    <x:xf numFmtId="0" fontId="1" fillId="9" borderId="14" xfId="0" applyNumberFormat="1" applyFont="1" applyFill="1" applyBorder="1" applyAlignment="1">
      <x:alignment vertical="center"/>
    </x:xf>
    <x:xf numFmtId="200" fontId="1" fillId="9" borderId="14" xfId="0" applyNumberFormat="1" applyFont="1" applyFill="1" applyBorder="1" applyAlignment="1">
      <x:alignment horizontal="right" vertical="center"/>
    </x:xf>
    <x:xf numFmtId="202" fontId="1" fillId="9" borderId="14" xfId="0" applyNumberFormat="1" applyFont="1" applyFill="1" applyBorder="1" applyAlignment="1">
      <x:alignment horizontal="center" vertical="center"/>
    </x:xf>
    <x:xf numFmtId="0" fontId="1" fillId="9" borderId="14" xfId="0" applyNumberFormat="1" applyFont="1" applyFill="1" applyBorder="1" applyAlignment="1">
      <x:alignment horizontal="center" vertical="center"/>
    </x:xf>
    <x:xf numFmtId="203" fontId="1" fillId="7" borderId="14" xfId="0" applyNumberFormat="1" applyFont="1" applyFill="1" applyBorder="1" applyAlignment="1">
      <x:alignment horizontal="center" vertical="center"/>
    </x:xf>
    <x:xf numFmtId="0" fontId="1" fillId="7" borderId="14" xfId="0" applyNumberFormat="1" applyFont="1" applyFill="1" applyBorder="1" applyAlignment="1">
      <x:alignment horizontal="center" vertical="center"/>
    </x:xf>
    <x:xf numFmtId="0" fontId="1" fillId="8" borderId="13" xfId="0" applyNumberFormat="1" applyFont="1" applyFill="1" applyBorder="1" applyAlignment="1">
      <x:alignment vertical="center" wrapText="1"/>
    </x:xf>
    <x:xf numFmtId="0" fontId="1" fillId="9" borderId="14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4" fontId="1" fillId="0" borderId="13" xfId="0" applyNumberFormat="1" applyFont="1" applyFill="1" applyBorder="1" applyAlignment="1">
      <x:alignment vertical="center"/>
    </x:xf>
    <x:xf numFmtId="205" fontId="1" fillId="0" borderId="13" xfId="0" applyNumberFormat="1" applyFont="1" applyFill="1" applyBorder="1" applyAlignment="1">
      <x:alignment vertical="center"/>
    </x:xf>
    <x:xf numFmtId="200" fontId="1" fillId="0" borderId="15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206" fontId="1" fillId="0" borderId="13" xfId="0" applyNumberFormat="1" applyFont="1" applyFill="1" applyBorder="1" applyAlignment="1">
      <x:alignment vertical="center"/>
    </x:xf>
    <x:xf numFmtId="206" fontId="1" fillId="0" borderId="14" xfId="0" applyNumberFormat="1" applyFont="1" applyFill="1" applyBorder="1" applyAlignment="1">
      <x:alignment vertical="center"/>
    </x:xf>
    <x:xf numFmtId="204" fontId="1" fillId="0" borderId="14" xfId="0" applyNumberFormat="1" applyFont="1" applyFill="1" applyBorder="1" applyAlignment="1">
      <x:alignment vertical="center"/>
    </x:xf>
    <x:xf numFmtId="206" fontId="1" fillId="0" borderId="13" xfId="0" applyNumberFormat="1" applyFont="1" applyFill="1" applyBorder="1" applyAlignment="1">
      <x:alignment horizontal="right" vertical="center"/>
    </x:xf>
    <x:xf numFmtId="204" fontId="1" fillId="0" borderId="13" xfId="0" applyNumberFormat="1" applyFont="1" applyFill="1" applyBorder="1" applyAlignment="1">
      <x:alignment horizontal="right" vertical="center"/>
    </x:xf>
    <x:xf numFmtId="206" fontId="1" fillId="0" borderId="14" xfId="0" applyNumberFormat="1" applyFont="1" applyFill="1" applyBorder="1" applyAlignment="1">
      <x:alignment horizontal="right" vertical="center"/>
    </x:xf>
    <x:xf numFmtId="204" fontId="1" fillId="0" borderId="14" xfId="0" applyNumberFormat="1" applyFont="1" applyFill="1" applyBorder="1" applyAlignment="1">
      <x:alignment horizontal="right" vertical="center"/>
    </x:xf>
    <x:xf numFmtId="0" fontId="1" fillId="6" borderId="14" xfId="0" applyNumberFormat="1" applyFont="1" applyFill="1" applyBorder="1" applyAlignment="1">
      <x:alignment vertical="center"/>
    </x:xf>
    <x:xf numFmtId="206" fontId="1" fillId="6" borderId="14" xfId="0" applyNumberFormat="1" applyFont="1" applyFill="1" applyBorder="1" applyAlignment="1">
      <x:alignment horizontal="right" vertical="center"/>
    </x:xf>
    <x:xf numFmtId="200" fontId="1" fillId="6" borderId="14" xfId="0" applyNumberFormat="1" applyFont="1" applyFill="1" applyBorder="1" applyAlignment="1">
      <x:alignment horizontal="right" vertical="center"/>
    </x:xf>
    <x:xf numFmtId="204" fontId="1" fillId="6" borderId="14" xfId="0" applyNumberFormat="1" applyFont="1" applyFill="1" applyBorder="1" applyAlignment="1">
      <x:alignment horizontal="right" vertical="center"/>
    </x:xf>
    <x:xf numFmtId="0" fontId="5" fillId="6" borderId="14" xfId="0" applyNumberFormat="1" applyFont="1" applyFill="1" applyBorder="1" applyAlignment="1">
      <x:alignment vertical="center"/>
    </x:xf>
    <x:xf numFmtId="206" fontId="5" fillId="6" borderId="14" xfId="0" applyNumberFormat="1" applyFont="1" applyFill="1" applyBorder="1" applyAlignment="1">
      <x:alignment horizontal="right" vertical="center"/>
    </x:xf>
    <x:xf numFmtId="200" fontId="5" fillId="6" borderId="14" xfId="0" applyNumberFormat="1" applyFont="1" applyFill="1" applyBorder="1" applyAlignment="1">
      <x:alignment horizontal="right" vertical="center"/>
    </x:xf>
    <x:xf numFmtId="204" fontId="5" fillId="6" borderId="14" xfId="0" applyNumberFormat="1" applyFont="1" applyFill="1" applyBorder="1" applyAlignment="1">
      <x:alignment horizontal="right" vertical="center"/>
    </x:xf>
    <x:xf numFmtId="206" fontId="1" fillId="7" borderId="14" xfId="0" applyNumberFormat="1" applyFont="1" applyFill="1" applyBorder="1" applyAlignment="1">
      <x:alignment horizontal="right" vertical="center"/>
    </x:xf>
    <x:xf numFmtId="204" fontId="1" fillId="7" borderId="14" xfId="0" applyNumberFormat="1" applyFont="1" applyFill="1" applyBorder="1" applyAlignment="1">
      <x:alignment horizontal="right" vertical="center"/>
    </x:xf>
    <x:xf numFmtId="0" fontId="7" fillId="7" borderId="14" xfId="0" applyNumberFormat="1" applyFont="1" applyFill="1" applyBorder="1" applyAlignment="1">
      <x:alignment vertical="center"/>
    </x:xf>
    <x:xf numFmtId="206" fontId="7" fillId="7" borderId="14" xfId="0" applyNumberFormat="1" applyFont="1" applyFill="1" applyBorder="1" applyAlignment="1">
      <x:alignment horizontal="right" vertical="center"/>
    </x:xf>
    <x:xf numFmtId="200" fontId="7" fillId="7" borderId="14" xfId="0" applyNumberFormat="1" applyFont="1" applyFill="1" applyBorder="1" applyAlignment="1">
      <x:alignment horizontal="right" vertical="center"/>
    </x:xf>
    <x:xf numFmtId="204" fontId="7" fillId="7" borderId="14" xfId="0" applyNumberFormat="1" applyFont="1" applyFill="1" applyBorder="1" applyAlignment="1">
      <x:alignment horizontal="right" vertical="center"/>
    </x:xf>
    <x:xf numFmtId="0" fontId="5" fillId="6" borderId="14" xfId="0" applyNumberFormat="1" applyFont="1" applyFill="1" applyBorder="1" applyAlignment="1">
      <x:alignment vertical="center" wrapText="1"/>
    </x:xf>
    <x:xf numFmtId="0" fontId="7" fillId="7" borderId="14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19" xfId="0" applyNumberFormat="1" applyFont="1" applyFill="1" applyBorder="1" applyAlignment="1">
      <x:alignment vertical="center"/>
    </x:xf>
    <x:xf numFmtId="0" fontId="6" fillId="6" borderId="20" xfId="0" applyNumberFormat="1" applyFont="1" applyFill="1" applyBorder="1" applyAlignment="1">
      <x:alignment vertical="center"/>
    </x:xf>
    <x:xf numFmtId="0" fontId="6" fillId="6" borderId="21" xfId="0" applyNumberFormat="1" applyFont="1" applyFill="1" applyBorder="1" applyAlignment="1">
      <x:alignment vertical="center"/>
    </x:xf>
    <x:xf numFmtId="0" fontId="6" fillId="6" borderId="22" xfId="0" applyNumberFormat="1" applyFont="1" applyFill="1" applyBorder="1" applyAlignment="1">
      <x:alignment vertical="center"/>
    </x:xf>
    <x:xf numFmtId="0" fontId="6" fillId="6" borderId="23" xfId="0" applyNumberFormat="1" applyFont="1" applyFill="1" applyBorder="1" applyAlignment="1">
      <x:alignment vertical="center"/>
    </x:xf>
    <x:xf numFmtId="0" fontId="6" fillId="6" borderId="24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0" fontId="6" fillId="6" borderId="25" xfId="0" applyNumberFormat="1" applyFont="1" applyFill="1" applyBorder="1" applyAlignment="1">
      <x:alignment vertical="center"/>
    </x:xf>
    <x:xf numFmtId="0" fontId="6" fillId="6" borderId="19" xfId="0" applyNumberFormat="1" applyFont="1" applyFill="1" applyBorder="1" applyAlignment="1">
      <x:alignment vertical="center" wrapText="1"/>
    </x:xf>
    <x:xf numFmtId="0" fontId="6" fillId="6" borderId="20" xfId="0" applyNumberFormat="1" applyFont="1" applyFill="1" applyBorder="1" applyAlignment="1">
      <x:alignment vertical="center" wrapText="1"/>
    </x:xf>
    <x:xf numFmtId="0" fontId="6" fillId="6" borderId="21" xfId="0" applyNumberFormat="1" applyFont="1" applyFill="1" applyBorder="1" applyAlignment="1">
      <x:alignment vertical="center" wrapText="1"/>
    </x:xf>
    <x:xf numFmtId="0" fontId="6" fillId="6" borderId="22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23" xfId="0" applyNumberFormat="1" applyFont="1" applyFill="1" applyBorder="1" applyAlignment="1">
      <x:alignment vertical="center" wrapText="1"/>
    </x:xf>
    <x:xf numFmtId="0" fontId="6" fillId="6" borderId="24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25" xfId="0" applyNumberFormat="1" applyFont="1" applyFill="1" applyBorder="1" applyAlignment="1">
      <x:alignment vertical="center" wrapText="1"/>
    </x:xf>
    <x:xf numFmtId="0" fontId="6" fillId="6" borderId="19" xfId="0" applyNumberFormat="1" applyFont="1" applyFill="1" applyBorder="1" applyAlignment="1">
      <x:alignment horizontal="center" vertical="center" wrapText="1"/>
    </x:xf>
    <x:xf numFmtId="0" fontId="6" fillId="6" borderId="20" xfId="0" applyNumberFormat="1" applyFont="1" applyFill="1" applyBorder="1" applyAlignment="1">
      <x:alignment horizontal="center" vertical="center" wrapText="1"/>
    </x:xf>
    <x:xf numFmtId="0" fontId="6" fillId="6" borderId="21" xfId="0" applyNumberFormat="1" applyFont="1" applyFill="1" applyBorder="1" applyAlignment="1">
      <x:alignment horizontal="center" vertical="center" wrapText="1"/>
    </x:xf>
    <x:xf numFmtId="0" fontId="6" fillId="6" borderId="22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6" fillId="6" borderId="23" xfId="0" applyNumberFormat="1" applyFont="1" applyFill="1" applyBorder="1" applyAlignment="1">
      <x:alignment horizontal="center" vertical="center" wrapText="1"/>
    </x:xf>
    <x:xf numFmtId="0" fontId="6" fillId="6" borderId="24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6" fillId="6" borderId="25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vertical="center"/>
    </x:xf>
    <x:xf numFmtId="0" fontId="6" fillId="10" borderId="0" xfId="0" applyNumberFormat="1" applyFont="1" applyFill="1" applyBorder="1" applyAlignment="1">
      <x:alignment vertical="center"/>
    </x:xf>
    <x:xf numFmtId="0" fontId="6" fillId="10" borderId="19" xfId="0" applyNumberFormat="1" applyFont="1" applyFill="1" applyBorder="1" applyAlignment="1">
      <x:alignment vertical="center"/>
    </x:xf>
    <x:xf numFmtId="0" fontId="6" fillId="10" borderId="20" xfId="0" applyNumberFormat="1" applyFont="1" applyFill="1" applyBorder="1" applyAlignment="1">
      <x:alignment vertical="center"/>
    </x:xf>
    <x:xf numFmtId="0" fontId="6" fillId="10" borderId="21" xfId="0" applyNumberFormat="1" applyFont="1" applyFill="1" applyBorder="1" applyAlignment="1">
      <x:alignment vertical="center"/>
    </x:xf>
    <x:xf numFmtId="0" fontId="6" fillId="10" borderId="22" xfId="0" applyNumberFormat="1" applyFont="1" applyFill="1" applyBorder="1" applyAlignment="1">
      <x:alignment vertical="center"/>
    </x:xf>
    <x:xf numFmtId="0" fontId="6" fillId="10" borderId="23" xfId="0" applyNumberFormat="1" applyFont="1" applyFill="1" applyBorder="1" applyAlignment="1">
      <x:alignment vertical="center"/>
    </x:xf>
    <x:xf numFmtId="0" fontId="6" fillId="10" borderId="24" xfId="0" applyNumberFormat="1" applyFont="1" applyFill="1" applyBorder="1" applyAlignment="1">
      <x:alignment vertical="center"/>
    </x:xf>
    <x:xf numFmtId="0" fontId="6" fillId="10" borderId="1" xfId="0" applyNumberFormat="1" applyFont="1" applyFill="1" applyBorder="1" applyAlignment="1">
      <x:alignment vertical="center"/>
    </x:xf>
    <x:xf numFmtId="0" fontId="6" fillId="10" borderId="25" xfId="0" applyNumberFormat="1" applyFont="1" applyFill="1" applyBorder="1" applyAlignment="1">
      <x:alignment vertical="center"/>
    </x:xf>
    <x:xf numFmtId="0" fontId="6" fillId="10" borderId="19" xfId="0" applyNumberFormat="1" applyFont="1" applyFill="1" applyBorder="1" applyAlignment="1">
      <x:alignment vertical="center" wrapText="1"/>
    </x:xf>
    <x:xf numFmtId="0" fontId="6" fillId="10" borderId="20" xfId="0" applyNumberFormat="1" applyFont="1" applyFill="1" applyBorder="1" applyAlignment="1">
      <x:alignment vertical="center" wrapText="1"/>
    </x:xf>
    <x:xf numFmtId="0" fontId="6" fillId="10" borderId="21" xfId="0" applyNumberFormat="1" applyFont="1" applyFill="1" applyBorder="1" applyAlignment="1">
      <x:alignment vertical="center" wrapText="1"/>
    </x:xf>
    <x:xf numFmtId="0" fontId="6" fillId="10" borderId="22" xfId="0" applyNumberFormat="1" applyFont="1" applyFill="1" applyBorder="1" applyAlignment="1">
      <x:alignment vertical="center" wrapText="1"/>
    </x:xf>
    <x:xf numFmtId="0" fontId="6" fillId="10" borderId="0" xfId="0" applyNumberFormat="1" applyFont="1" applyFill="1" applyBorder="1" applyAlignment="1">
      <x:alignment vertical="center" wrapText="1"/>
    </x:xf>
    <x:xf numFmtId="0" fontId="6" fillId="10" borderId="23" xfId="0" applyNumberFormat="1" applyFont="1" applyFill="1" applyBorder="1" applyAlignment="1">
      <x:alignment vertical="center" wrapText="1"/>
    </x:xf>
    <x:xf numFmtId="0" fontId="6" fillId="10" borderId="24" xfId="0" applyNumberFormat="1" applyFont="1" applyFill="1" applyBorder="1" applyAlignment="1">
      <x:alignment vertical="center" wrapText="1"/>
    </x:xf>
    <x:xf numFmtId="0" fontId="6" fillId="10" borderId="1" xfId="0" applyNumberFormat="1" applyFont="1" applyFill="1" applyBorder="1" applyAlignment="1">
      <x:alignment vertical="center" wrapText="1"/>
    </x:xf>
    <x:xf numFmtId="0" fontId="6" fillId="10" borderId="25" xfId="0" applyNumberFormat="1" applyFont="1" applyFill="1" applyBorder="1" applyAlignment="1">
      <x:alignment vertical="center" wrapText="1"/>
    </x:xf>
    <x:xf numFmtId="0" fontId="6" fillId="10" borderId="19" xfId="0" applyNumberFormat="1" applyFont="1" applyFill="1" applyBorder="1" applyAlignment="1">
      <x:alignment horizontal="center" vertical="center" wrapText="1"/>
    </x:xf>
    <x:xf numFmtId="0" fontId="6" fillId="10" borderId="20" xfId="0" applyNumberFormat="1" applyFont="1" applyFill="1" applyBorder="1" applyAlignment="1">
      <x:alignment horizontal="center" vertical="center" wrapText="1"/>
    </x:xf>
    <x:xf numFmtId="0" fontId="6" fillId="10" borderId="21" xfId="0" applyNumberFormat="1" applyFont="1" applyFill="1" applyBorder="1" applyAlignment="1">
      <x:alignment horizontal="center" vertical="center" wrapText="1"/>
    </x:xf>
    <x:xf numFmtId="0" fontId="6" fillId="10" borderId="22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 applyAlignment="1">
      <x:alignment horizontal="center" vertical="center" wrapText="1"/>
    </x:xf>
    <x:xf numFmtId="0" fontId="6" fillId="10" borderId="23" xfId="0" applyNumberFormat="1" applyFont="1" applyFill="1" applyBorder="1" applyAlignment="1">
      <x:alignment horizontal="center" vertical="center" wrapText="1"/>
    </x:xf>
    <x:xf numFmtId="0" fontId="6" fillId="10" borderId="24" xfId="0" applyNumberFormat="1" applyFont="1" applyFill="1" applyBorder="1" applyAlignment="1">
      <x:alignment horizontal="center" vertical="center" wrapText="1"/>
    </x:xf>
    <x:xf numFmtId="0" fontId="6" fillId="10" borderId="1" xfId="0" applyNumberFormat="1" applyFont="1" applyFill="1" applyBorder="1" applyAlignment="1">
      <x:alignment horizontal="center" vertical="center" wrapText="1"/>
    </x:xf>
    <x:xf numFmtId="0" fontId="6" fillId="10" borderId="25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19" xfId="0" applyNumberFormat="1" applyFont="1" applyFill="1" applyBorder="1" applyAlignment="1">
      <x:alignment vertical="center"/>
    </x:xf>
    <x:xf numFmtId="0" fontId="6" fillId="5" borderId="20" xfId="0" applyNumberFormat="1" applyFont="1" applyFill="1" applyBorder="1" applyAlignment="1">
      <x:alignment vertical="center"/>
    </x:xf>
    <x:xf numFmtId="0" fontId="6" fillId="5" borderId="21" xfId="0" applyNumberFormat="1" applyFont="1" applyFill="1" applyBorder="1" applyAlignment="1">
      <x:alignment vertical="center"/>
    </x:xf>
    <x:xf numFmtId="0" fontId="6" fillId="5" borderId="22" xfId="0" applyNumberFormat="1" applyFont="1" applyFill="1" applyBorder="1" applyAlignment="1">
      <x:alignment vertical="center"/>
    </x:xf>
    <x:xf numFmtId="0" fontId="6" fillId="5" borderId="23" xfId="0" applyNumberFormat="1" applyFont="1" applyFill="1" applyBorder="1" applyAlignment="1">
      <x:alignment vertical="center"/>
    </x:xf>
    <x:xf numFmtId="0" fontId="6" fillId="5" borderId="24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/>
    </x:xf>
    <x:xf numFmtId="0" fontId="6" fillId="5" borderId="25" xfId="0" applyNumberFormat="1" applyFont="1" applyFill="1" applyBorder="1" applyAlignment="1">
      <x:alignment vertical="center"/>
    </x:xf>
    <x:xf numFmtId="0" fontId="6" fillId="5" borderId="19" xfId="0" applyNumberFormat="1" applyFont="1" applyFill="1" applyBorder="1" applyAlignment="1">
      <x:alignment vertical="center" wrapText="1"/>
    </x:xf>
    <x:xf numFmtId="0" fontId="6" fillId="5" borderId="20" xfId="0" applyNumberFormat="1" applyFont="1" applyFill="1" applyBorder="1" applyAlignment="1">
      <x:alignment vertical="center" wrapText="1"/>
    </x:xf>
    <x:xf numFmtId="0" fontId="6" fillId="5" borderId="21" xfId="0" applyNumberFormat="1" applyFont="1" applyFill="1" applyBorder="1" applyAlignment="1">
      <x:alignment vertical="center" wrapText="1"/>
    </x:xf>
    <x:xf numFmtId="0" fontId="6" fillId="5" borderId="22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23" xfId="0" applyNumberFormat="1" applyFont="1" applyFill="1" applyBorder="1" applyAlignment="1">
      <x:alignment vertical="center" wrapText="1"/>
    </x:xf>
    <x:xf numFmtId="0" fontId="6" fillId="5" borderId="24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5" borderId="25" xfId="0" applyNumberFormat="1" applyFont="1" applyFill="1" applyBorder="1" applyAlignment="1">
      <x:alignment vertical="center" wrapText="1"/>
    </x:xf>
    <x:xf numFmtId="0" fontId="6" fillId="5" borderId="19" xfId="0" applyNumberFormat="1" applyFont="1" applyFill="1" applyBorder="1" applyAlignment="1">
      <x:alignment horizontal="center" vertical="center" wrapText="1"/>
    </x:xf>
    <x:xf numFmtId="0" fontId="6" fillId="5" borderId="20" xfId="0" applyNumberFormat="1" applyFont="1" applyFill="1" applyBorder="1" applyAlignment="1">
      <x:alignment horizontal="center" vertical="center" wrapText="1"/>
    </x:xf>
    <x:xf numFmtId="0" fontId="6" fillId="5" borderId="21" xfId="0" applyNumberFormat="1" applyFont="1" applyFill="1" applyBorder="1" applyAlignment="1">
      <x:alignment horizontal="center" vertical="center" wrapText="1"/>
    </x:xf>
    <x:xf numFmtId="0" fontId="6" fillId="5" borderId="22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23" xfId="0" applyNumberFormat="1" applyFont="1" applyFill="1" applyBorder="1" applyAlignment="1">
      <x:alignment horizontal="center" vertical="center" wrapText="1"/>
    </x:xf>
    <x:xf numFmtId="0" fontId="6" fillId="5" borderId="24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6" fillId="5" borderId="25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6" fillId="9" borderId="19" xfId="0" applyNumberFormat="1" applyFont="1" applyFill="1" applyBorder="1" applyAlignment="1">
      <x:alignment vertical="center"/>
    </x:xf>
    <x:xf numFmtId="0" fontId="6" fillId="9" borderId="20" xfId="0" applyNumberFormat="1" applyFont="1" applyFill="1" applyBorder="1" applyAlignment="1">
      <x:alignment vertical="center"/>
    </x:xf>
    <x:xf numFmtId="0" fontId="6" fillId="9" borderId="21" xfId="0" applyNumberFormat="1" applyFont="1" applyFill="1" applyBorder="1" applyAlignment="1">
      <x:alignment vertical="center"/>
    </x:xf>
    <x:xf numFmtId="0" fontId="6" fillId="9" borderId="22" xfId="0" applyNumberFormat="1" applyFont="1" applyFill="1" applyBorder="1" applyAlignment="1">
      <x:alignment vertical="center"/>
    </x:xf>
    <x:xf numFmtId="0" fontId="6" fillId="9" borderId="23" xfId="0" applyNumberFormat="1" applyFont="1" applyFill="1" applyBorder="1" applyAlignment="1">
      <x:alignment vertical="center"/>
    </x:xf>
    <x:xf numFmtId="0" fontId="6" fillId="9" borderId="24" xfId="0" applyNumberFormat="1" applyFont="1" applyFill="1" applyBorder="1" applyAlignment="1">
      <x:alignment vertical="center"/>
    </x:xf>
    <x:xf numFmtId="0" fontId="6" fillId="9" borderId="1" xfId="0" applyNumberFormat="1" applyFont="1" applyFill="1" applyBorder="1" applyAlignment="1">
      <x:alignment vertical="center"/>
    </x:xf>
    <x:xf numFmtId="0" fontId="6" fillId="9" borderId="25" xfId="0" applyNumberFormat="1" applyFont="1" applyFill="1" applyBorder="1" applyAlignment="1">
      <x:alignment vertical="center"/>
    </x:xf>
    <x:xf numFmtId="0" fontId="6" fillId="9" borderId="19" xfId="0" applyNumberFormat="1" applyFont="1" applyFill="1" applyBorder="1" applyAlignment="1">
      <x:alignment vertical="center" wrapText="1"/>
    </x:xf>
    <x:xf numFmtId="0" fontId="6" fillId="9" borderId="20" xfId="0" applyNumberFormat="1" applyFont="1" applyFill="1" applyBorder="1" applyAlignment="1">
      <x:alignment vertical="center" wrapText="1"/>
    </x:xf>
    <x:xf numFmtId="0" fontId="6" fillId="9" borderId="21" xfId="0" applyNumberFormat="1" applyFont="1" applyFill="1" applyBorder="1" applyAlignment="1">
      <x:alignment vertical="center" wrapText="1"/>
    </x:xf>
    <x:xf numFmtId="0" fontId="6" fillId="9" borderId="22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center" wrapText="1"/>
    </x:xf>
    <x:xf numFmtId="0" fontId="6" fillId="9" borderId="23" xfId="0" applyNumberFormat="1" applyFont="1" applyFill="1" applyBorder="1" applyAlignment="1">
      <x:alignment vertical="center" wrapText="1"/>
    </x:xf>
    <x:xf numFmtId="0" fontId="6" fillId="9" borderId="24" xfId="0" applyNumberFormat="1" applyFont="1" applyFill="1" applyBorder="1" applyAlignment="1">
      <x:alignment vertical="center" wrapText="1"/>
    </x:xf>
    <x:xf numFmtId="0" fontId="6" fillId="9" borderId="1" xfId="0" applyNumberFormat="1" applyFont="1" applyFill="1" applyBorder="1" applyAlignment="1">
      <x:alignment vertical="center" wrapText="1"/>
    </x:xf>
    <x:xf numFmtId="0" fontId="6" fillId="9" borderId="25" xfId="0" applyNumberFormat="1" applyFont="1" applyFill="1" applyBorder="1" applyAlignment="1">
      <x:alignment vertical="center" wrapText="1"/>
    </x:xf>
    <x:xf numFmtId="0" fontId="6" fillId="9" borderId="19" xfId="0" applyNumberFormat="1" applyFont="1" applyFill="1" applyBorder="1" applyAlignment="1">
      <x:alignment horizontal="center" vertical="center" wrapText="1"/>
    </x:xf>
    <x:xf numFmtId="0" fontId="6" fillId="9" borderId="20" xfId="0" applyNumberFormat="1" applyFont="1" applyFill="1" applyBorder="1" applyAlignment="1">
      <x:alignment horizontal="center" vertical="center" wrapText="1"/>
    </x:xf>
    <x:xf numFmtId="0" fontId="6" fillId="9" borderId="21" xfId="0" applyNumberFormat="1" applyFont="1" applyFill="1" applyBorder="1" applyAlignment="1">
      <x:alignment horizontal="center" vertical="center" wrapText="1"/>
    </x:xf>
    <x:xf numFmtId="0" fontId="6" fillId="9" borderId="22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6" fillId="9" borderId="23" xfId="0" applyNumberFormat="1" applyFont="1" applyFill="1" applyBorder="1" applyAlignment="1">
      <x:alignment horizontal="center" vertical="center" wrapText="1"/>
    </x:xf>
    <x:xf numFmtId="0" fontId="6" fillId="9" borderId="24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horizontal="center" vertical="center" wrapText="1"/>
    </x:xf>
    <x:xf numFmtId="0" fontId="6" fillId="9" borderId="25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26" xfId="0" applyNumberFormat="1" applyFont="1" applyFill="1" applyBorder="1" applyAlignment="1">
      <x:alignment vertical="center"/>
    </x:xf>
    <x:xf numFmtId="0" fontId="5" fillId="8" borderId="15" xfId="0" applyNumberFormat="1" applyFont="1" applyFill="1" applyBorder="1" applyAlignment="1">
      <x:alignment vertical="center"/>
    </x:xf>
    <x:xf numFmtId="0" fontId="5" fillId="8" borderId="27" xfId="0" applyNumberFormat="1" applyFont="1" applyFill="1" applyBorder="1" applyAlignment="1">
      <x:alignment vertical="center"/>
    </x:xf>
    <x:xf numFmtId="0" fontId="5" fillId="8" borderId="28" xfId="0" applyNumberFormat="1" applyFont="1" applyFill="1" applyBorder="1" applyAlignment="1">
      <x:alignment vertical="center"/>
    </x:xf>
    <x:xf numFmtId="0" fontId="5" fillId="8" borderId="29" xfId="0" applyNumberFormat="1" applyFont="1" applyFill="1" applyBorder="1" applyAlignment="1">
      <x:alignment vertical="center"/>
    </x:xf>
    <x:xf numFmtId="0" fontId="5" fillId="8" borderId="30" xfId="0" applyNumberFormat="1" applyFont="1" applyFill="1" applyBorder="1" applyAlignment="1">
      <x:alignment vertical="center"/>
    </x:xf>
    <x:xf numFmtId="0" fontId="5" fillId="8" borderId="13" xfId="0" applyNumberFormat="1" applyFont="1" applyFill="1" applyBorder="1" applyAlignment="1">
      <x:alignment vertical="center"/>
    </x:xf>
    <x:xf numFmtId="0" fontId="5" fillId="8" borderId="31" xfId="0" applyNumberFormat="1" applyFont="1" applyFill="1" applyBorder="1" applyAlignment="1">
      <x:alignment vertical="center"/>
    </x:xf>
    <x:xf numFmtId="0" fontId="5" fillId="8" borderId="26" xfId="0" applyNumberFormat="1" applyFont="1" applyFill="1" applyBorder="1" applyAlignment="1">
      <x:alignment vertical="center" wrapText="1"/>
    </x:xf>
    <x:xf numFmtId="0" fontId="5" fillId="8" borderId="15" xfId="0" applyNumberFormat="1" applyFont="1" applyFill="1" applyBorder="1" applyAlignment="1">
      <x:alignment vertical="center" wrapText="1"/>
    </x:xf>
    <x:xf numFmtId="0" fontId="5" fillId="8" borderId="27" xfId="0" applyNumberFormat="1" applyFont="1" applyFill="1" applyBorder="1" applyAlignment="1">
      <x:alignment vertical="center" wrapText="1"/>
    </x:xf>
    <x:xf numFmtId="0" fontId="5" fillId="8" borderId="28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29" xfId="0" applyNumberFormat="1" applyFont="1" applyFill="1" applyBorder="1" applyAlignment="1">
      <x:alignment vertical="center" wrapText="1"/>
    </x:xf>
    <x:xf numFmtId="0" fontId="5" fillId="8" borderId="30" xfId="0" applyNumberFormat="1" applyFont="1" applyFill="1" applyBorder="1" applyAlignment="1">
      <x:alignment vertical="center" wrapText="1"/>
    </x:xf>
    <x:xf numFmtId="0" fontId="5" fillId="8" borderId="13" xfId="0" applyNumberFormat="1" applyFont="1" applyFill="1" applyBorder="1" applyAlignment="1">
      <x:alignment vertical="center" wrapText="1"/>
    </x:xf>
    <x:xf numFmtId="0" fontId="5" fillId="8" borderId="31" xfId="0" applyNumberFormat="1" applyFont="1" applyFill="1" applyBorder="1" applyAlignment="1">
      <x:alignment vertical="center" wrapText="1"/>
    </x:xf>
    <x:xf numFmtId="0" fontId="5" fillId="8" borderId="26" xfId="0" applyNumberFormat="1" applyFont="1" applyFill="1" applyBorder="1" applyAlignment="1">
      <x:alignment horizontal="center" vertical="center" wrapText="1"/>
    </x:xf>
    <x:xf numFmtId="0" fontId="5" fillId="8" borderId="15" xfId="0" applyNumberFormat="1" applyFont="1" applyFill="1" applyBorder="1" applyAlignment="1">
      <x:alignment horizontal="center" vertical="center" wrapText="1"/>
    </x:xf>
    <x:xf numFmtId="0" fontId="5" fillId="8" borderId="27" xfId="0" applyNumberFormat="1" applyFont="1" applyFill="1" applyBorder="1" applyAlignment="1">
      <x:alignment horizontal="center" vertical="center" wrapText="1"/>
    </x:xf>
    <x:xf numFmtId="0" fontId="5" fillId="8" borderId="28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5" fillId="8" borderId="29" xfId="0" applyNumberFormat="1" applyFont="1" applyFill="1" applyBorder="1" applyAlignment="1">
      <x:alignment horizontal="center" vertical="center" wrapText="1"/>
    </x:xf>
    <x:xf numFmtId="0" fontId="5" fillId="8" borderId="30" xfId="0" applyNumberFormat="1" applyFont="1" applyFill="1" applyBorder="1" applyAlignment="1">
      <x:alignment horizontal="center" vertical="center" wrapText="1"/>
    </x:xf>
    <x:xf numFmtId="0" fontId="5" fillId="8" borderId="13" xfId="0" applyNumberFormat="1" applyFont="1" applyFill="1" applyBorder="1" applyAlignment="1">
      <x:alignment horizontal="center" vertical="center" wrapText="1"/>
    </x:xf>
    <x:xf numFmtId="0" fontId="5" fillId="8" borderId="31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vertical="center"/>
    </x:xf>
    <x:xf numFmtId="0" fontId="5" fillId="9" borderId="26" xfId="0" applyNumberFormat="1" applyFont="1" applyFill="1" applyBorder="1" applyAlignment="1">
      <x:alignment vertical="center"/>
    </x:xf>
    <x:xf numFmtId="0" fontId="5" fillId="9" borderId="15" xfId="0" applyNumberFormat="1" applyFont="1" applyFill="1" applyBorder="1" applyAlignment="1">
      <x:alignment vertical="center"/>
    </x:xf>
    <x:xf numFmtId="0" fontId="5" fillId="9" borderId="27" xfId="0" applyNumberFormat="1" applyFont="1" applyFill="1" applyBorder="1" applyAlignment="1">
      <x:alignment vertical="center"/>
    </x:xf>
    <x:xf numFmtId="0" fontId="5" fillId="9" borderId="28" xfId="0" applyNumberFormat="1" applyFont="1" applyFill="1" applyBorder="1" applyAlignment="1">
      <x:alignment vertical="center"/>
    </x:xf>
    <x:xf numFmtId="0" fontId="5" fillId="9" borderId="29" xfId="0" applyNumberFormat="1" applyFont="1" applyFill="1" applyBorder="1" applyAlignment="1">
      <x:alignment vertical="center"/>
    </x:xf>
    <x:xf numFmtId="0" fontId="5" fillId="9" borderId="30" xfId="0" applyNumberFormat="1" applyFont="1" applyFill="1" applyBorder="1" applyAlignment="1">
      <x:alignment vertical="center"/>
    </x:xf>
    <x:xf numFmtId="0" fontId="5" fillId="9" borderId="13" xfId="0" applyNumberFormat="1" applyFont="1" applyFill="1" applyBorder="1" applyAlignment="1">
      <x:alignment vertical="center"/>
    </x:xf>
    <x:xf numFmtId="0" fontId="5" fillId="9" borderId="31" xfId="0" applyNumberFormat="1" applyFont="1" applyFill="1" applyBorder="1" applyAlignment="1">
      <x:alignment vertical="center"/>
    </x:xf>
    <x:xf numFmtId="0" fontId="5" fillId="9" borderId="26" xfId="0" applyNumberFormat="1" applyFont="1" applyFill="1" applyBorder="1" applyAlignment="1">
      <x:alignment vertical="center" wrapText="1"/>
    </x:xf>
    <x:xf numFmtId="0" fontId="5" fillId="9" borderId="15" xfId="0" applyNumberFormat="1" applyFont="1" applyFill="1" applyBorder="1" applyAlignment="1">
      <x:alignment vertical="center" wrapText="1"/>
    </x:xf>
    <x:xf numFmtId="0" fontId="5" fillId="9" borderId="27" xfId="0" applyNumberFormat="1" applyFont="1" applyFill="1" applyBorder="1" applyAlignment="1">
      <x:alignment vertical="center" wrapText="1"/>
    </x:xf>
    <x:xf numFmtId="0" fontId="5" fillId="9" borderId="28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vertical="center" wrapText="1"/>
    </x:xf>
    <x:xf numFmtId="0" fontId="5" fillId="9" borderId="29" xfId="0" applyNumberFormat="1" applyFont="1" applyFill="1" applyBorder="1" applyAlignment="1">
      <x:alignment vertical="center" wrapText="1"/>
    </x:xf>
    <x:xf numFmtId="0" fontId="5" fillId="9" borderId="30" xfId="0" applyNumberFormat="1" applyFont="1" applyFill="1" applyBorder="1" applyAlignment="1">
      <x:alignment vertical="center" wrapText="1"/>
    </x:xf>
    <x:xf numFmtId="0" fontId="5" fillId="9" borderId="13" xfId="0" applyNumberFormat="1" applyFont="1" applyFill="1" applyBorder="1" applyAlignment="1">
      <x:alignment vertical="center" wrapText="1"/>
    </x:xf>
    <x:xf numFmtId="0" fontId="5" fillId="9" borderId="31" xfId="0" applyNumberFormat="1" applyFont="1" applyFill="1" applyBorder="1" applyAlignment="1">
      <x:alignment vertical="center" wrapText="1"/>
    </x:xf>
    <x:xf numFmtId="0" fontId="5" fillId="9" borderId="26" xfId="0" applyNumberFormat="1" applyFont="1" applyFill="1" applyBorder="1" applyAlignment="1">
      <x:alignment horizontal="center" vertical="center" wrapText="1"/>
    </x:xf>
    <x:xf numFmtId="0" fontId="5" fillId="9" borderId="15" xfId="0" applyNumberFormat="1" applyFont="1" applyFill="1" applyBorder="1" applyAlignment="1">
      <x:alignment horizontal="center" vertical="center" wrapText="1"/>
    </x:xf>
    <x:xf numFmtId="0" fontId="5" fillId="9" borderId="27" xfId="0" applyNumberFormat="1" applyFont="1" applyFill="1" applyBorder="1" applyAlignment="1">
      <x:alignment horizontal="center" vertical="center" wrapText="1"/>
    </x:xf>
    <x:xf numFmtId="0" fontId="5" fillId="9" borderId="28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5" fillId="9" borderId="29" xfId="0" applyNumberFormat="1" applyFont="1" applyFill="1" applyBorder="1" applyAlignment="1">
      <x:alignment horizontal="center" vertical="center" wrapText="1"/>
    </x:xf>
    <x:xf numFmtId="0" fontId="5" fillId="9" borderId="30" xfId="0" applyNumberFormat="1" applyFont="1" applyFill="1" applyBorder="1" applyAlignment="1">
      <x:alignment horizontal="center" vertical="center" wrapText="1"/>
    </x:xf>
    <x:xf numFmtId="0" fontId="5" fillId="9" borderId="13" xfId="0" applyNumberFormat="1" applyFont="1" applyFill="1" applyBorder="1" applyAlignment="1">
      <x:alignment horizontal="center" vertical="center" wrapText="1"/>
    </x:xf>
    <x:xf numFmtId="0" fontId="5" fillId="9" borderId="31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5" fillId="7" borderId="26" xfId="0" applyNumberFormat="1" applyFont="1" applyFill="1" applyBorder="1" applyAlignment="1">
      <x:alignment vertical="center"/>
    </x:xf>
    <x:xf numFmtId="0" fontId="5" fillId="7" borderId="15" xfId="0" applyNumberFormat="1" applyFont="1" applyFill="1" applyBorder="1" applyAlignment="1">
      <x:alignment vertical="center"/>
    </x:xf>
    <x:xf numFmtId="0" fontId="5" fillId="7" borderId="27" xfId="0" applyNumberFormat="1" applyFont="1" applyFill="1" applyBorder="1" applyAlignment="1">
      <x:alignment vertical="center"/>
    </x:xf>
    <x:xf numFmtId="0" fontId="5" fillId="7" borderId="28" xfId="0" applyNumberFormat="1" applyFont="1" applyFill="1" applyBorder="1" applyAlignment="1">
      <x:alignment vertical="center"/>
    </x:xf>
    <x:xf numFmtId="0" fontId="5" fillId="7" borderId="29" xfId="0" applyNumberFormat="1" applyFont="1" applyFill="1" applyBorder="1" applyAlignment="1">
      <x:alignment vertical="center"/>
    </x:xf>
    <x:xf numFmtId="0" fontId="5" fillId="7" borderId="30" xfId="0" applyNumberFormat="1" applyFont="1" applyFill="1" applyBorder="1" applyAlignment="1">
      <x:alignment vertical="center"/>
    </x:xf>
    <x:xf numFmtId="0" fontId="5" fillId="7" borderId="13" xfId="0" applyNumberFormat="1" applyFont="1" applyFill="1" applyBorder="1" applyAlignment="1">
      <x:alignment vertical="center"/>
    </x:xf>
    <x:xf numFmtId="0" fontId="5" fillId="7" borderId="31" xfId="0" applyNumberFormat="1" applyFont="1" applyFill="1" applyBorder="1" applyAlignment="1">
      <x:alignment vertical="center"/>
    </x:xf>
    <x:xf numFmtId="0" fontId="5" fillId="7" borderId="26" xfId="0" applyNumberFormat="1" applyFont="1" applyFill="1" applyBorder="1" applyAlignment="1">
      <x:alignment vertical="center" wrapText="1"/>
    </x:xf>
    <x:xf numFmtId="0" fontId="5" fillId="7" borderId="15" xfId="0" applyNumberFormat="1" applyFont="1" applyFill="1" applyBorder="1" applyAlignment="1">
      <x:alignment vertical="center" wrapText="1"/>
    </x:xf>
    <x:xf numFmtId="0" fontId="5" fillId="7" borderId="27" xfId="0" applyNumberFormat="1" applyFont="1" applyFill="1" applyBorder="1" applyAlignment="1">
      <x:alignment vertical="center" wrapText="1"/>
    </x:xf>
    <x:xf numFmtId="0" fontId="5" fillId="7" borderId="28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29" xfId="0" applyNumberFormat="1" applyFont="1" applyFill="1" applyBorder="1" applyAlignment="1">
      <x:alignment vertical="center" wrapText="1"/>
    </x:xf>
    <x:xf numFmtId="0" fontId="5" fillId="7" borderId="30" xfId="0" applyNumberFormat="1" applyFont="1" applyFill="1" applyBorder="1" applyAlignment="1">
      <x:alignment vertical="center" wrapText="1"/>
    </x:xf>
    <x:xf numFmtId="0" fontId="5" fillId="7" borderId="13" xfId="0" applyNumberFormat="1" applyFont="1" applyFill="1" applyBorder="1" applyAlignment="1">
      <x:alignment vertical="center" wrapText="1"/>
    </x:xf>
    <x:xf numFmtId="0" fontId="5" fillId="7" borderId="31" xfId="0" applyNumberFormat="1" applyFont="1" applyFill="1" applyBorder="1" applyAlignment="1">
      <x:alignment vertical="center" wrapText="1"/>
    </x:xf>
    <x:xf numFmtId="0" fontId="5" fillId="7" borderId="26" xfId="0" applyNumberFormat="1" applyFont="1" applyFill="1" applyBorder="1" applyAlignment="1">
      <x:alignment horizontal="center" vertical="center" wrapText="1"/>
    </x:xf>
    <x:xf numFmtId="0" fontId="5" fillId="7" borderId="15" xfId="0" applyNumberFormat="1" applyFont="1" applyFill="1" applyBorder="1" applyAlignment="1">
      <x:alignment horizontal="center" vertical="center" wrapText="1"/>
    </x:xf>
    <x:xf numFmtId="0" fontId="5" fillId="7" borderId="27" xfId="0" applyNumberFormat="1" applyFont="1" applyFill="1" applyBorder="1" applyAlignment="1">
      <x:alignment horizontal="center" vertical="center" wrapText="1"/>
    </x:xf>
    <x:xf numFmtId="0" fontId="5" fillId="7" borderId="28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5" fillId="7" borderId="29" xfId="0" applyNumberFormat="1" applyFont="1" applyFill="1" applyBorder="1" applyAlignment="1">
      <x:alignment horizontal="center" vertical="center" wrapText="1"/>
    </x:xf>
    <x:xf numFmtId="0" fontId="5" fillId="7" borderId="30" xfId="0" applyNumberFormat="1" applyFont="1" applyFill="1" applyBorder="1" applyAlignment="1">
      <x:alignment horizontal="center" vertical="center" wrapText="1"/>
    </x:xf>
    <x:xf numFmtId="0" fontId="5" fillId="7" borderId="13" xfId="0" applyNumberFormat="1" applyFont="1" applyFill="1" applyBorder="1" applyAlignment="1">
      <x:alignment horizontal="center" vertical="center" wrapText="1"/>
    </x:xf>
    <x:xf numFmtId="0" fontId="5" fillId="7" borderId="31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1" fillId="3" borderId="11" xfId="0" applyNumberFormat="1" applyFont="1" applyFill="1" applyBorder="1" applyAlignment="1">
      <x:alignment vertical="center"/>
    </x:xf>
    <x:xf numFmtId="0" fontId="1" fillId="3" borderId="12" xfId="0" applyNumberFormat="1" applyFont="1" applyFill="1" applyBorder="1" applyAlignment="1">
      <x:alignment vertical="center"/>
    </x:xf>
    <x:xf numFmtId="0" fontId="1" fillId="6" borderId="5" xfId="0" applyNumberFormat="1" applyFont="1" applyFill="1" applyBorder="1" applyAlignment="1">
      <x:alignment vertical="center"/>
    </x:xf>
    <x:xf numFmtId="0" fontId="1" fillId="6" borderId="6" xfId="0" applyNumberFormat="1" applyFont="1" applyFill="1" applyBorder="1" applyAlignment="1">
      <x:alignment vertical="center"/>
    </x:xf>
    <x:xf numFmtId="0" fontId="1" fillId="6" borderId="8" xfId="0" applyNumberFormat="1" applyFont="1" applyFill="1" applyBorder="1" applyAlignment="1">
      <x:alignment vertical="center"/>
    </x:xf>
    <x:xf numFmtId="0" fontId="5" fillId="6" borderId="5" xfId="0" applyNumberFormat="1" applyFont="1" applyFill="1" applyBorder="1" applyAlignment="1">
      <x:alignment vertical="center"/>
    </x:xf>
    <x:xf numFmtId="0" fontId="5" fillId="6" borderId="6" xfId="0" applyNumberFormat="1" applyFont="1" applyFill="1" applyBorder="1" applyAlignment="1">
      <x:alignment vertical="center"/>
    </x:xf>
    <x:xf numFmtId="0" fontId="5" fillId="6" borderId="8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32" xfId="0" applyNumberFormat="1" applyFont="1" applyFill="1" applyBorder="1" applyAlignment="1">
      <x:alignment vertical="center"/>
    </x:xf>
    <x:xf numFmtId="0" fontId="5" fillId="6" borderId="29" xfId="0" applyNumberFormat="1" applyFont="1" applyFill="1" applyBorder="1" applyAlignment="1">
      <x:alignment vertical="center"/>
    </x:xf>
    <x:xf numFmtId="0" fontId="5" fillId="6" borderId="5" xfId="0" applyNumberFormat="1" applyFont="1" applyFill="1" applyBorder="1" applyAlignment="1">
      <x:alignment horizontal="left" vertical="center"/>
    </x:xf>
    <x:xf numFmtId="0" fontId="5" fillId="6" borderId="32" xfId="0" applyNumberFormat="1" applyFont="1" applyFill="1" applyBorder="1" applyAlignment="1">
      <x:alignment horizontal="left" vertical="center"/>
    </x:xf>
    <x:xf numFmtId="0" fontId="5" fillId="6" borderId="8" xfId="0" applyNumberFormat="1" applyFont="1" applyFill="1" applyBorder="1" applyAlignment="1">
      <x:alignment horizontal="left" vertical="center"/>
    </x:xf>
    <x:xf numFmtId="0" fontId="5" fillId="6" borderId="29" xfId="0" applyNumberFormat="1" applyFont="1" applyFill="1" applyBorder="1" applyAlignment="1">
      <x:alignment horizontal="left" vertical="center"/>
    </x:xf>
    <x:xf numFmtId="0" fontId="1" fillId="3" borderId="6" xfId="0" applyNumberFormat="1" applyFont="1" applyFill="1" applyBorder="1" applyAlignment="1">
      <x:alignment vertical="center" wrapText="1"/>
    </x:xf>
    <x:xf numFmtId="0" fontId="1" fillId="3" borderId="7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9" xfId="0" applyNumberFormat="1" applyFont="1" applyFill="1" applyBorder="1" applyAlignment="1">
      <x:alignment vertical="center" wrapText="1"/>
    </x:xf>
    <x:xf numFmtId="0" fontId="1" fillId="6" borderId="10" xfId="0" applyNumberFormat="1" applyFont="1" applyFill="1" applyBorder="1" applyAlignment="1">
      <x:alignment vertical="center"/>
    </x:xf>
    <x:xf numFmtId="0" fontId="1" fillId="6" borderId="11" xfId="0" applyNumberFormat="1" applyFont="1" applyFill="1" applyBorder="1" applyAlignment="1">
      <x:alignment vertical="center"/>
    </x:xf>
    <x:xf numFmtId="0" fontId="5" fillId="6" borderId="10" xfId="0" applyNumberFormat="1" applyFont="1" applyFill="1" applyBorder="1" applyAlignment="1">
      <x:alignment vertical="center"/>
    </x:xf>
    <x:xf numFmtId="0" fontId="5" fillId="6" borderId="11" xfId="0" applyNumberFormat="1" applyFont="1" applyFill="1" applyBorder="1" applyAlignment="1">
      <x:alignment vertical="center"/>
    </x:xf>
    <x:xf numFmtId="0" fontId="1" fillId="3" borderId="11" xfId="0" applyNumberFormat="1" applyFont="1" applyFill="1" applyBorder="1" applyAlignment="1">
      <x:alignment vertical="center" wrapText="1"/>
    </x:xf>
    <x:xf numFmtId="0" fontId="1" fillId="3" borderId="12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/>
    </x:xf>
    <x:xf numFmtId="0" fontId="5" fillId="5" borderId="33" xfId="0" applyNumberFormat="1" applyFont="1" applyFill="1" applyBorder="1" applyAlignment="1">
      <x:alignment vertical="center"/>
    </x:xf>
    <x:xf numFmtId="0" fontId="5" fillId="5" borderId="34" xfId="0" applyNumberFormat="1" applyFont="1" applyFill="1" applyBorder="1" applyAlignment="1">
      <x:alignment vertical="center"/>
    </x:xf>
    <x:xf numFmtId="0" fontId="5" fillId="5" borderId="35" xfId="0" applyNumberFormat="1" applyFont="1" applyFill="1" applyBorder="1" applyAlignment="1">
      <x:alignment vertical="center"/>
    </x:xf>
    <x:xf numFmtId="0" fontId="5" fillId="5" borderId="33" xfId="0" applyNumberFormat="1" applyFont="1" applyFill="1" applyBorder="1" applyAlignment="1">
      <x:alignment vertical="center" wrapText="1"/>
    </x:xf>
    <x:xf numFmtId="0" fontId="5" fillId="5" borderId="34" xfId="0" applyNumberFormat="1" applyFont="1" applyFill="1" applyBorder="1" applyAlignment="1">
      <x:alignment vertical="center" wrapText="1"/>
    </x:xf>
    <x:xf numFmtId="0" fontId="5" fillId="5" borderId="35" xfId="0" applyNumberFormat="1" applyFont="1" applyFill="1" applyBorder="1" applyAlignment="1">
      <x:alignment vertical="center" wrapText="1"/>
    </x:xf>
    <x:xf numFmtId="0" fontId="5" fillId="5" borderId="33" xfId="0" applyNumberFormat="1" applyFont="1" applyFill="1" applyBorder="1" applyAlignment="1">
      <x:alignment horizontal="center" vertical="center" wrapText="1"/>
    </x:xf>
    <x:xf numFmtId="0" fontId="5" fillId="5" borderId="34" xfId="0" applyNumberFormat="1" applyFont="1" applyFill="1" applyBorder="1" applyAlignment="1">
      <x:alignment horizontal="center" vertical="center" wrapText="1"/>
    </x:xf>
    <x:xf numFmtId="0" fontId="5" fillId="5" borderId="35" xfId="0" applyNumberFormat="1" applyFont="1" applyFill="1" applyBorder="1" applyAlignment="1">
      <x:alignment horizontal="center" vertical="center" wrapText="1"/>
    </x:xf>
    <x:xf numFmtId="200" fontId="1" fillId="5" borderId="14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0" fontId="9" fillId="6" borderId="26" xfId="0" applyNumberFormat="1" applyFont="1" applyFill="1" applyBorder="1" applyAlignment="1">
      <x:alignment vertical="center"/>
    </x:xf>
    <x:xf numFmtId="0" fontId="9" fillId="6" borderId="15" xfId="0" applyNumberFormat="1" applyFont="1" applyFill="1" applyBorder="1" applyAlignment="1">
      <x:alignment vertical="center"/>
    </x:xf>
    <x:xf numFmtId="0" fontId="9" fillId="6" borderId="27" xfId="0" applyNumberFormat="1" applyFont="1" applyFill="1" applyBorder="1" applyAlignment="1">
      <x:alignment vertical="center"/>
    </x:xf>
    <x:xf numFmtId="0" fontId="9" fillId="6" borderId="26" xfId="0" applyNumberFormat="1" applyFont="1" applyFill="1" applyBorder="1" applyAlignment="1">
      <x:alignment vertical="center" wrapText="1"/>
    </x:xf>
    <x:xf numFmtId="0" fontId="9" fillId="6" borderId="15" xfId="0" applyNumberFormat="1" applyFont="1" applyFill="1" applyBorder="1" applyAlignment="1">
      <x:alignment vertical="center" wrapText="1"/>
    </x:xf>
    <x:xf numFmtId="0" fontId="9" fillId="6" borderId="27" xfId="0" applyNumberFormat="1" applyFont="1" applyFill="1" applyBorder="1" applyAlignment="1">
      <x:alignment vertical="center" wrapText="1"/>
    </x:xf>
    <x:xf numFmtId="0" fontId="9" fillId="6" borderId="26" xfId="0" applyNumberFormat="1" applyFont="1" applyFill="1" applyBorder="1" applyAlignment="1">
      <x:alignment horizontal="center" vertical="center" wrapText="1"/>
    </x:xf>
    <x:xf numFmtId="0" fontId="9" fillId="6" borderId="15" xfId="0" applyNumberFormat="1" applyFont="1" applyFill="1" applyBorder="1" applyAlignment="1">
      <x:alignment horizontal="center" vertical="center" wrapText="1"/>
    </x:xf>
    <x:xf numFmtId="0" fontId="9" fillId="6" borderId="27" xfId="0" applyNumberFormat="1" applyFont="1" applyFill="1" applyBorder="1" applyAlignment="1">
      <x:alignment horizontal="center" vertical="center" wrapText="1"/>
    </x:xf>
    <x:xf numFmtId="0" fontId="10" fillId="6" borderId="0" xfId="0" applyNumberFormat="1" applyFont="1" applyFill="1" applyBorder="1" applyAlignment="1">
      <x:alignment vertical="center"/>
    </x:xf>
    <x:xf numFmtId="0" fontId="10" fillId="6" borderId="28" xfId="0" applyNumberFormat="1" applyFont="1" applyFill="1" applyBorder="1" applyAlignment="1">
      <x:alignment vertical="center"/>
    </x:xf>
    <x:xf numFmtId="0" fontId="10" fillId="6" borderId="29" xfId="0" applyNumberFormat="1" applyFont="1" applyFill="1" applyBorder="1" applyAlignment="1">
      <x:alignment vertical="center"/>
    </x:xf>
    <x:xf numFmtId="0" fontId="10" fillId="6" borderId="30" xfId="0" applyNumberFormat="1" applyFont="1" applyFill="1" applyBorder="1" applyAlignment="1">
      <x:alignment vertical="center"/>
    </x:xf>
    <x:xf numFmtId="0" fontId="10" fillId="6" borderId="13" xfId="0" applyNumberFormat="1" applyFont="1" applyFill="1" applyBorder="1" applyAlignment="1">
      <x:alignment vertical="center"/>
    </x:xf>
    <x:xf numFmtId="0" fontId="10" fillId="6" borderId="31" xfId="0" applyNumberFormat="1" applyFont="1" applyFill="1" applyBorder="1" applyAlignment="1">
      <x:alignment vertical="center"/>
    </x:xf>
    <x:xf numFmtId="0" fontId="10" fillId="6" borderId="28" xfId="0" applyNumberFormat="1" applyFont="1" applyFill="1" applyBorder="1" applyAlignment="1">
      <x:alignment horizontal="center" vertical="center"/>
    </x:xf>
    <x:xf numFmtId="0" fontId="10" fillId="6" borderId="0" xfId="0" applyNumberFormat="1" applyFont="1" applyFill="1" applyBorder="1" applyAlignment="1">
      <x:alignment horizontal="center" vertical="center"/>
    </x:xf>
    <x:xf numFmtId="0" fontId="10" fillId="6" borderId="29" xfId="0" applyNumberFormat="1" applyFont="1" applyFill="1" applyBorder="1" applyAlignment="1">
      <x:alignment horizontal="center" vertical="center"/>
    </x:xf>
    <x:xf numFmtId="0" fontId="10" fillId="6" borderId="30" xfId="0" applyNumberFormat="1" applyFont="1" applyFill="1" applyBorder="1" applyAlignment="1">
      <x:alignment horizontal="center" vertical="center"/>
    </x:xf>
    <x:xf numFmtId="0" fontId="10" fillId="6" borderId="13" xfId="0" applyNumberFormat="1" applyFont="1" applyFill="1" applyBorder="1" applyAlignment="1">
      <x:alignment horizontal="center" vertical="center"/>
    </x:xf>
    <x:xf numFmtId="0" fontId="10" fillId="6" borderId="31" xfId="0" applyNumberFormat="1" applyFont="1" applyFill="1" applyBorder="1" applyAlignment="1">
      <x:alignment horizontal="center" vertical="center"/>
    </x:xf>
    <x:xf numFmtId="200" fontId="10" fillId="6" borderId="28" xfId="0" applyNumberFormat="1" applyFont="1" applyFill="1" applyBorder="1" applyAlignment="1">
      <x:alignment horizontal="center" vertical="center"/>
    </x:xf>
    <x:xf numFmtId="0" fontId="9" fillId="7" borderId="0" xfId="0" applyNumberFormat="1" applyFont="1" applyFill="1" applyBorder="1" applyAlignment="1">
      <x:alignment vertical="center"/>
    </x:xf>
    <x:xf numFmtId="0" fontId="9" fillId="7" borderId="26" xfId="0" applyNumberFormat="1" applyFont="1" applyFill="1" applyBorder="1" applyAlignment="1">
      <x:alignment vertical="center"/>
    </x:xf>
    <x:xf numFmtId="0" fontId="9" fillId="7" borderId="15" xfId="0" applyNumberFormat="1" applyFont="1" applyFill="1" applyBorder="1" applyAlignment="1">
      <x:alignment vertical="center"/>
    </x:xf>
    <x:xf numFmtId="0" fontId="9" fillId="7" borderId="27" xfId="0" applyNumberFormat="1" applyFont="1" applyFill="1" applyBorder="1" applyAlignment="1">
      <x:alignment vertical="center"/>
    </x:xf>
    <x:xf numFmtId="0" fontId="9" fillId="7" borderId="26" xfId="0" applyNumberFormat="1" applyFont="1" applyFill="1" applyBorder="1" applyAlignment="1">
      <x:alignment vertical="center" wrapText="1"/>
    </x:xf>
    <x:xf numFmtId="0" fontId="9" fillId="7" borderId="15" xfId="0" applyNumberFormat="1" applyFont="1" applyFill="1" applyBorder="1" applyAlignment="1">
      <x:alignment vertical="center" wrapText="1"/>
    </x:xf>
    <x:xf numFmtId="0" fontId="9" fillId="7" borderId="27" xfId="0" applyNumberFormat="1" applyFont="1" applyFill="1" applyBorder="1" applyAlignment="1">
      <x:alignment vertical="center" wrapText="1"/>
    </x:xf>
    <x:xf numFmtId="0" fontId="9" fillId="7" borderId="26" xfId="0" applyNumberFormat="1" applyFont="1" applyFill="1" applyBorder="1" applyAlignment="1">
      <x:alignment horizontal="center" vertical="center" wrapText="1"/>
    </x:xf>
    <x:xf numFmtId="0" fontId="9" fillId="7" borderId="15" xfId="0" applyNumberFormat="1" applyFont="1" applyFill="1" applyBorder="1" applyAlignment="1">
      <x:alignment horizontal="center" vertical="center" wrapText="1"/>
    </x:xf>
    <x:xf numFmtId="0" fontId="9" fillId="7" borderId="27" xfId="0" applyNumberFormat="1" applyFont="1" applyFill="1" applyBorder="1" applyAlignment="1">
      <x:alignment horizontal="center" vertical="center" wrapText="1"/>
    </x:xf>
    <x:xf numFmtId="0" fontId="10" fillId="7" borderId="0" xfId="0" applyNumberFormat="1" applyFont="1" applyFill="1" applyBorder="1" applyAlignment="1">
      <x:alignment vertical="center"/>
    </x:xf>
    <x:xf numFmtId="0" fontId="10" fillId="7" borderId="28" xfId="0" applyNumberFormat="1" applyFont="1" applyFill="1" applyBorder="1" applyAlignment="1">
      <x:alignment vertical="center"/>
    </x:xf>
    <x:xf numFmtId="0" fontId="10" fillId="7" borderId="29" xfId="0" applyNumberFormat="1" applyFont="1" applyFill="1" applyBorder="1" applyAlignment="1">
      <x:alignment vertical="center"/>
    </x:xf>
    <x:xf numFmtId="0" fontId="10" fillId="7" borderId="30" xfId="0" applyNumberFormat="1" applyFont="1" applyFill="1" applyBorder="1" applyAlignment="1">
      <x:alignment vertical="center"/>
    </x:xf>
    <x:xf numFmtId="0" fontId="10" fillId="7" borderId="13" xfId="0" applyNumberFormat="1" applyFont="1" applyFill="1" applyBorder="1" applyAlignment="1">
      <x:alignment vertical="center"/>
    </x:xf>
    <x:xf numFmtId="0" fontId="10" fillId="7" borderId="31" xfId="0" applyNumberFormat="1" applyFont="1" applyFill="1" applyBorder="1" applyAlignment="1">
      <x:alignment vertical="center"/>
    </x:xf>
    <x:xf numFmtId="0" fontId="10" fillId="7" borderId="28" xfId="0" applyNumberFormat="1" applyFont="1" applyFill="1" applyBorder="1" applyAlignment="1">
      <x:alignment horizontal="center" vertical="center"/>
    </x:xf>
    <x:xf numFmtId="0" fontId="10" fillId="7" borderId="0" xfId="0" applyNumberFormat="1" applyFont="1" applyFill="1" applyBorder="1" applyAlignment="1">
      <x:alignment horizontal="center" vertical="center"/>
    </x:xf>
    <x:xf numFmtId="0" fontId="10" fillId="7" borderId="29" xfId="0" applyNumberFormat="1" applyFont="1" applyFill="1" applyBorder="1" applyAlignment="1">
      <x:alignment horizontal="center" vertical="center"/>
    </x:xf>
    <x:xf numFmtId="0" fontId="10" fillId="7" borderId="30" xfId="0" applyNumberFormat="1" applyFont="1" applyFill="1" applyBorder="1" applyAlignment="1">
      <x:alignment horizontal="center" vertical="center"/>
    </x:xf>
    <x:xf numFmtId="0" fontId="10" fillId="7" borderId="13" xfId="0" applyNumberFormat="1" applyFont="1" applyFill="1" applyBorder="1" applyAlignment="1">
      <x:alignment horizontal="center" vertical="center"/>
    </x:xf>
    <x:xf numFmtId="0" fontId="10" fillId="7" borderId="31" xfId="0" applyNumberFormat="1" applyFont="1" applyFill="1" applyBorder="1" applyAlignment="1">
      <x:alignment horizontal="center" vertical="center"/>
    </x:xf>
    <x:xf numFmtId="200" fontId="10" fillId="7" borderId="28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 applyAlignment="1">
      <x:alignment vertical="center"/>
    </x:xf>
    <x:xf numFmtId="0" fontId="9" fillId="5" borderId="26" xfId="0" applyNumberFormat="1" applyFont="1" applyFill="1" applyBorder="1" applyAlignment="1">
      <x:alignment vertical="center"/>
    </x:xf>
    <x:xf numFmtId="0" fontId="9" fillId="5" borderId="15" xfId="0" applyNumberFormat="1" applyFont="1" applyFill="1" applyBorder="1" applyAlignment="1">
      <x:alignment vertical="center"/>
    </x:xf>
    <x:xf numFmtId="0" fontId="9" fillId="5" borderId="27" xfId="0" applyNumberFormat="1" applyFont="1" applyFill="1" applyBorder="1" applyAlignment="1">
      <x:alignment vertical="center"/>
    </x:xf>
    <x:xf numFmtId="0" fontId="9" fillId="5" borderId="26" xfId="0" applyNumberFormat="1" applyFont="1" applyFill="1" applyBorder="1" applyAlignment="1">
      <x:alignment vertical="center" wrapText="1"/>
    </x:xf>
    <x:xf numFmtId="0" fontId="9" fillId="5" borderId="15" xfId="0" applyNumberFormat="1" applyFont="1" applyFill="1" applyBorder="1" applyAlignment="1">
      <x:alignment vertical="center" wrapText="1"/>
    </x:xf>
    <x:xf numFmtId="0" fontId="9" fillId="5" borderId="27" xfId="0" applyNumberFormat="1" applyFont="1" applyFill="1" applyBorder="1" applyAlignment="1">
      <x:alignment vertical="center" wrapText="1"/>
    </x:xf>
    <x:xf numFmtId="0" fontId="9" fillId="5" borderId="26" xfId="0" applyNumberFormat="1" applyFont="1" applyFill="1" applyBorder="1" applyAlignment="1">
      <x:alignment horizontal="center" vertical="center" wrapText="1"/>
    </x:xf>
    <x:xf numFmtId="0" fontId="9" fillId="5" borderId="15" xfId="0" applyNumberFormat="1" applyFont="1" applyFill="1" applyBorder="1" applyAlignment="1">
      <x:alignment horizontal="center" vertical="center" wrapText="1"/>
    </x:xf>
    <x:xf numFmtId="0" fontId="9" fillId="5" borderId="27" xfId="0" applyNumberFormat="1" applyFont="1" applyFill="1" applyBorder="1" applyAlignment="1">
      <x:alignment horizontal="center" vertical="center" wrapText="1"/>
    </x:xf>
    <x:xf numFmtId="0" fontId="10" fillId="5" borderId="0" xfId="0" applyNumberFormat="1" applyFont="1" applyFill="1" applyBorder="1" applyAlignment="1">
      <x:alignment vertical="center"/>
    </x:xf>
    <x:xf numFmtId="0" fontId="10" fillId="5" borderId="28" xfId="0" applyNumberFormat="1" applyFont="1" applyFill="1" applyBorder="1" applyAlignment="1">
      <x:alignment vertical="center"/>
    </x:xf>
    <x:xf numFmtId="0" fontId="10" fillId="5" borderId="29" xfId="0" applyNumberFormat="1" applyFont="1" applyFill="1" applyBorder="1" applyAlignment="1">
      <x:alignment vertical="center"/>
    </x:xf>
    <x:xf numFmtId="0" fontId="10" fillId="5" borderId="30" xfId="0" applyNumberFormat="1" applyFont="1" applyFill="1" applyBorder="1" applyAlignment="1">
      <x:alignment vertical="center"/>
    </x:xf>
    <x:xf numFmtId="0" fontId="10" fillId="5" borderId="13" xfId="0" applyNumberFormat="1" applyFont="1" applyFill="1" applyBorder="1" applyAlignment="1">
      <x:alignment vertical="center"/>
    </x:xf>
    <x:xf numFmtId="0" fontId="10" fillId="5" borderId="31" xfId="0" applyNumberFormat="1" applyFont="1" applyFill="1" applyBorder="1" applyAlignment="1">
      <x:alignment vertical="center"/>
    </x:xf>
    <x:xf numFmtId="0" fontId="10" fillId="5" borderId="28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 applyAlignment="1">
      <x:alignment horizontal="center" vertical="center"/>
    </x:xf>
    <x:xf numFmtId="0" fontId="10" fillId="5" borderId="29" xfId="0" applyNumberFormat="1" applyFont="1" applyFill="1" applyBorder="1" applyAlignment="1">
      <x:alignment horizontal="center" vertical="center"/>
    </x:xf>
    <x:xf numFmtId="0" fontId="10" fillId="5" borderId="30" xfId="0" applyNumberFormat="1" applyFont="1" applyFill="1" applyBorder="1" applyAlignment="1">
      <x:alignment horizontal="center" vertical="center"/>
    </x:xf>
    <x:xf numFmtId="0" fontId="10" fillId="5" borderId="13" xfId="0" applyNumberFormat="1" applyFont="1" applyFill="1" applyBorder="1" applyAlignment="1">
      <x:alignment horizontal="center" vertical="center"/>
    </x:xf>
    <x:xf numFmtId="0" fontId="10" fillId="5" borderId="31" xfId="0" applyNumberFormat="1" applyFont="1" applyFill="1" applyBorder="1" applyAlignment="1">
      <x:alignment horizontal="center" vertical="center"/>
    </x:xf>
    <x:xf numFmtId="202" fontId="10" fillId="5" borderId="28" xfId="0" applyNumberFormat="1" applyFont="1" applyFill="1" applyBorder="1" applyAlignment="1">
      <x:alignment horizontal="center" vertical="center"/>
    </x:xf>
    <x:xf numFmtId="200" fontId="1" fillId="6" borderId="13" xfId="0" applyNumberFormat="1" applyFont="1" applyFill="1" applyBorder="1" applyAlignment="1">
      <x:alignment vertical="center"/>
    </x:xf>
    <x:xf numFmtId="200" fontId="1" fillId="7" borderId="14" xfId="0" applyNumberFormat="1" applyFont="1" applyFill="1" applyBorder="1" applyAlignment="1">
      <x:alignment vertical="center"/>
    </x:xf>
    <x:xf numFmtId="0" fontId="11" fillId="9" borderId="0" xfId="0" applyNumberFormat="1" applyFont="1" applyFill="1" applyBorder="1" applyAlignment="1">
      <x:alignment vertical="center"/>
    </x:xf>
    <x:xf numFmtId="0" fontId="11" fillId="9" borderId="36" xfId="0" applyNumberFormat="1" applyFont="1" applyFill="1" applyBorder="1" applyAlignment="1">
      <x:alignment vertical="center"/>
    </x:xf>
    <x:xf numFmtId="0" fontId="11" fillId="9" borderId="37" xfId="0" applyNumberFormat="1" applyFont="1" applyFill="1" applyBorder="1" applyAlignment="1">
      <x:alignment vertical="center"/>
    </x:xf>
    <x:xf numFmtId="0" fontId="11" fillId="9" borderId="38" xfId="0" applyNumberFormat="1" applyFont="1" applyFill="1" applyBorder="1" applyAlignment="1">
      <x:alignment vertical="center"/>
    </x:xf>
    <x:xf numFmtId="0" fontId="11" fillId="9" borderId="36" xfId="0" applyNumberFormat="1" applyFont="1" applyFill="1" applyBorder="1" applyAlignment="1">
      <x:alignment vertical="center" wrapText="1"/>
    </x:xf>
    <x:xf numFmtId="0" fontId="11" fillId="9" borderId="37" xfId="0" applyNumberFormat="1" applyFont="1" applyFill="1" applyBorder="1" applyAlignment="1">
      <x:alignment vertical="center" wrapText="1"/>
    </x:xf>
    <x:xf numFmtId="0" fontId="11" fillId="9" borderId="38" xfId="0" applyNumberFormat="1" applyFont="1" applyFill="1" applyBorder="1" applyAlignment="1">
      <x:alignment vertical="center" wrapText="1"/>
    </x:xf>
    <x:xf numFmtId="200" fontId="1" fillId="6" borderId="14" xfId="0" applyNumberFormat="1" applyFont="1" applyFill="1" applyBorder="1" applyAlignment="1">
      <x:alignment vertical="center"/>
    </x:xf>
    <x:xf numFmtId="200" fontId="5" fillId="6" borderId="14" xfId="0" applyNumberFormat="1" applyFont="1" applyFill="1" applyBorder="1" applyAlignment="1">
      <x:alignment vertical="center"/>
    </x:xf>
    <x:xf numFmtId="200" fontId="7" fillId="7" borderId="14" xfId="0" applyNumberFormat="1" applyFont="1" applyFill="1" applyBorder="1" applyAlignment="1">
      <x:alignment vertical="center"/>
    </x:xf>
    <x:xf numFmtId="204" fontId="10" fillId="6" borderId="28" xfId="0" applyNumberFormat="1" applyFont="1" applyFill="1" applyBorder="1" applyAlignment="1">
      <x:alignment horizontal="center" vertical="center"/>
    </x:xf>
    <x:xf numFmtId="0" fontId="9" fillId="9" borderId="0" xfId="0" applyNumberFormat="1" applyFont="1" applyFill="1" applyBorder="1" applyAlignment="1">
      <x:alignment vertical="center"/>
    </x:xf>
    <x:xf numFmtId="0" fontId="9" fillId="9" borderId="26" xfId="0" applyNumberFormat="1" applyFont="1" applyFill="1" applyBorder="1" applyAlignment="1">
      <x:alignment vertical="center"/>
    </x:xf>
    <x:xf numFmtId="0" fontId="9" fillId="9" borderId="15" xfId="0" applyNumberFormat="1" applyFont="1" applyFill="1" applyBorder="1" applyAlignment="1">
      <x:alignment vertical="center"/>
    </x:xf>
    <x:xf numFmtId="0" fontId="9" fillId="9" borderId="27" xfId="0" applyNumberFormat="1" applyFont="1" applyFill="1" applyBorder="1" applyAlignment="1">
      <x:alignment vertical="center"/>
    </x:xf>
    <x:xf numFmtId="0" fontId="9" fillId="9" borderId="26" xfId="0" applyNumberFormat="1" applyFont="1" applyFill="1" applyBorder="1" applyAlignment="1">
      <x:alignment vertical="center" wrapText="1"/>
    </x:xf>
    <x:xf numFmtId="0" fontId="9" fillId="9" borderId="15" xfId="0" applyNumberFormat="1" applyFont="1" applyFill="1" applyBorder="1" applyAlignment="1">
      <x:alignment vertical="center" wrapText="1"/>
    </x:xf>
    <x:xf numFmtId="0" fontId="9" fillId="9" borderId="27" xfId="0" applyNumberFormat="1" applyFont="1" applyFill="1" applyBorder="1" applyAlignment="1">
      <x:alignment vertical="center" wrapText="1"/>
    </x:xf>
    <x:xf numFmtId="0" fontId="9" fillId="9" borderId="26" xfId="0" applyNumberFormat="1" applyFont="1" applyFill="1" applyBorder="1" applyAlignment="1">
      <x:alignment horizontal="center" vertical="center" wrapText="1"/>
    </x:xf>
    <x:xf numFmtId="0" fontId="9" fillId="9" borderId="15" xfId="0" applyNumberFormat="1" applyFont="1" applyFill="1" applyBorder="1" applyAlignment="1">
      <x:alignment horizontal="center" vertical="center" wrapText="1"/>
    </x:xf>
    <x:xf numFmtId="0" fontId="9" fillId="9" borderId="27" xfId="0" applyNumberFormat="1" applyFont="1" applyFill="1" applyBorder="1" applyAlignment="1">
      <x:alignment horizontal="center" vertical="center" wrapText="1"/>
    </x:xf>
    <x:xf numFmtId="0" fontId="10" fillId="9" borderId="0" xfId="0" applyNumberFormat="1" applyFont="1" applyFill="1" applyBorder="1" applyAlignment="1">
      <x:alignment vertical="center"/>
    </x:xf>
    <x:xf numFmtId="0" fontId="10" fillId="9" borderId="28" xfId="0" applyNumberFormat="1" applyFont="1" applyFill="1" applyBorder="1" applyAlignment="1">
      <x:alignment vertical="center"/>
    </x:xf>
    <x:xf numFmtId="0" fontId="10" fillId="9" borderId="29" xfId="0" applyNumberFormat="1" applyFont="1" applyFill="1" applyBorder="1" applyAlignment="1">
      <x:alignment vertical="center"/>
    </x:xf>
    <x:xf numFmtId="0" fontId="10" fillId="9" borderId="30" xfId="0" applyNumberFormat="1" applyFont="1" applyFill="1" applyBorder="1" applyAlignment="1">
      <x:alignment vertical="center"/>
    </x:xf>
    <x:xf numFmtId="0" fontId="10" fillId="9" borderId="13" xfId="0" applyNumberFormat="1" applyFont="1" applyFill="1" applyBorder="1" applyAlignment="1">
      <x:alignment vertical="center"/>
    </x:xf>
    <x:xf numFmtId="0" fontId="10" fillId="9" borderId="31" xfId="0" applyNumberFormat="1" applyFont="1" applyFill="1" applyBorder="1" applyAlignment="1">
      <x:alignment vertical="center"/>
    </x:xf>
    <x:xf numFmtId="0" fontId="10" fillId="9" borderId="28" xfId="0" applyNumberFormat="1" applyFont="1" applyFill="1" applyBorder="1" applyAlignment="1">
      <x:alignment horizontal="center" vertical="center"/>
    </x:xf>
    <x:xf numFmtId="0" fontId="10" fillId="9" borderId="0" xfId="0" applyNumberFormat="1" applyFont="1" applyFill="1" applyBorder="1" applyAlignment="1">
      <x:alignment horizontal="center" vertical="center"/>
    </x:xf>
    <x:xf numFmtId="0" fontId="10" fillId="9" borderId="29" xfId="0" applyNumberFormat="1" applyFont="1" applyFill="1" applyBorder="1" applyAlignment="1">
      <x:alignment horizontal="center" vertical="center"/>
    </x:xf>
    <x:xf numFmtId="0" fontId="10" fillId="9" borderId="30" xfId="0" applyNumberFormat="1" applyFont="1" applyFill="1" applyBorder="1" applyAlignment="1">
      <x:alignment horizontal="center" vertical="center"/>
    </x:xf>
    <x:xf numFmtId="0" fontId="10" fillId="9" borderId="13" xfId="0" applyNumberFormat="1" applyFont="1" applyFill="1" applyBorder="1" applyAlignment="1">
      <x:alignment horizontal="center" vertical="center"/>
    </x:xf>
    <x:xf numFmtId="0" fontId="10" fillId="9" borderId="31" xfId="0" applyNumberFormat="1" applyFont="1" applyFill="1" applyBorder="1" applyAlignment="1">
      <x:alignment horizontal="center" vertical="center"/>
    </x:xf>
    <x:xf numFmtId="204" fontId="10" fillId="9" borderId="28" xfId="0" applyNumberFormat="1" applyFont="1" applyFill="1" applyBorder="1" applyAlignment="1">
      <x:alignment horizontal="center" vertical="center"/>
    </x:xf>
    <x:xf numFmtId="204" fontId="10" fillId="5" borderId="28" xfId="0" applyNumberFormat="1" applyFont="1" applyFill="1" applyBorder="1" applyAlignment="1">
      <x:alignment horizontal="center" vertical="center"/>
    </x:xf>
    <x:xf numFmtId="204" fontId="1" fillId="6" borderId="14" xfId="0" applyNumberFormat="1" applyFont="1" applyFill="1" applyBorder="1" applyAlignment="1">
      <x:alignment vertical="center"/>
    </x:xf>
    <x:xf numFmtId="204" fontId="5" fillId="6" borderId="14" xfId="0" applyNumberFormat="1" applyFont="1" applyFill="1" applyBorder="1" applyAlignment="1">
      <x:alignment vertical="center"/>
    </x:xf>
    <x:xf numFmtId="204" fontId="1" fillId="7" borderId="14" xfId="0" applyNumberFormat="1" applyFont="1" applyFill="1" applyBorder="1" applyAlignment="1">
      <x:alignment vertical="center"/>
    </x:xf>
    <x:xf numFmtId="204" fontId="7" fillId="7" borderId="14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 applyAlignment="1">
      <x:alignment vertical="center" wrapText="1"/>
    </x:xf>
    <x:xf numFmtId="0" fontId="5" fillId="0" borderId="14" xfId="0" applyNumberFormat="1" applyFont="1" applyFill="1" applyBorder="1" applyAlignment="1">
      <x:alignment vertical="center" wrapText="1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6" fillId="6" borderId="39" xfId="0" applyNumberFormat="1" applyFont="1" applyFill="1" applyBorder="1" applyAlignment="1">
      <x:alignment vertical="center"/>
    </x:xf>
    <x:xf numFmtId="0" fontId="6" fillId="6" borderId="40" xfId="0" applyNumberFormat="1" applyFont="1" applyFill="1" applyBorder="1" applyAlignment="1">
      <x:alignment vertical="center"/>
    </x:xf>
    <x:xf numFmtId="0" fontId="6" fillId="6" borderId="41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vertical="center"/>
    </x:xf>
    <x:xf numFmtId="0" fontId="12" fillId="7" borderId="26" xfId="0" applyNumberFormat="1" applyFont="1" applyFill="1" applyBorder="1" applyAlignment="1">
      <x:alignment vertical="center"/>
    </x:xf>
    <x:xf numFmtId="0" fontId="12" fillId="7" borderId="15" xfId="0" applyNumberFormat="1" applyFont="1" applyFill="1" applyBorder="1" applyAlignment="1">
      <x:alignment vertical="center"/>
    </x:xf>
    <x:xf numFmtId="0" fontId="12" fillId="7" borderId="27" xfId="0" applyNumberFormat="1" applyFont="1" applyFill="1" applyBorder="1" applyAlignment="1">
      <x:alignment vertical="center"/>
    </x:xf>
    <x:xf numFmtId="0" fontId="12" fillId="7" borderId="30" xfId="0" applyNumberFormat="1" applyFont="1" applyFill="1" applyBorder="1" applyAlignment="1">
      <x:alignment vertical="center"/>
    </x:xf>
    <x:xf numFmtId="0" fontId="12" fillId="7" borderId="13" xfId="0" applyNumberFormat="1" applyFont="1" applyFill="1" applyBorder="1" applyAlignment="1">
      <x:alignment vertical="center"/>
    </x:xf>
    <x:xf numFmtId="0" fontId="12" fillId="7" borderId="31" xfId="0" applyNumberFormat="1" applyFont="1" applyFill="1" applyBorder="1" applyAlignment="1">
      <x:alignment vertical="center"/>
    </x:xf>
    <x:xf numFmtId="0" fontId="12" fillId="7" borderId="26" xfId="0" applyNumberFormat="1" applyFont="1" applyFill="1" applyBorder="1" applyAlignment="1">
      <x:alignment vertical="center" wrapText="1"/>
    </x:xf>
    <x:xf numFmtId="0" fontId="12" fillId="7" borderId="15" xfId="0" applyNumberFormat="1" applyFont="1" applyFill="1" applyBorder="1" applyAlignment="1">
      <x:alignment vertical="center" wrapText="1"/>
    </x:xf>
    <x:xf numFmtId="0" fontId="12" fillId="7" borderId="27" xfId="0" applyNumberFormat="1" applyFont="1" applyFill="1" applyBorder="1" applyAlignment="1">
      <x:alignment vertical="center" wrapText="1"/>
    </x:xf>
    <x:xf numFmtId="0" fontId="12" fillId="7" borderId="30" xfId="0" applyNumberFormat="1" applyFont="1" applyFill="1" applyBorder="1" applyAlignment="1">
      <x:alignment vertical="center" wrapText="1"/>
    </x:xf>
    <x:xf numFmtId="0" fontId="12" fillId="7" borderId="13" xfId="0" applyNumberFormat="1" applyFont="1" applyFill="1" applyBorder="1" applyAlignment="1">
      <x:alignment vertical="center" wrapText="1"/>
    </x:xf>
    <x:xf numFmtId="0" fontId="12" fillId="7" borderId="3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808ed15ab245f8" /><Relationship Type="http://schemas.openxmlformats.org/officeDocument/2006/relationships/theme" Target="/xl/theme/theme1.xml" Id="R5f3597799f934314" /><Relationship Type="http://schemas.openxmlformats.org/officeDocument/2006/relationships/sharedStrings" Target="/xl/sharedStrings.xml" Id="Ree3655c09330405d" /><Relationship Type="http://schemas.openxmlformats.org/officeDocument/2006/relationships/worksheet" Target="/xl/worksheets/sheet1.xml" Id="R6bafe4c0b9c44757" /><Relationship Type="http://schemas.openxmlformats.org/officeDocument/2006/relationships/worksheet" Target="/xl/worksheets/sheet2.xml" Id="R66e7dda2dcc240ac" /><Relationship Type="http://schemas.openxmlformats.org/officeDocument/2006/relationships/worksheet" Target="/xl/worksheets/sheet3.xml" Id="R9fe6b6a31e59413a" /><Relationship Type="http://schemas.openxmlformats.org/officeDocument/2006/relationships/worksheet" Target="/xl/worksheets/sheet4.xml" Id="Rfc5fbb59e4244a45" /><Relationship Type="http://schemas.openxmlformats.org/officeDocument/2006/relationships/worksheet" Target="/xl/worksheets/sheet5.xml" Id="Reee6d889b7a94499" /><Relationship Type="http://schemas.openxmlformats.org/officeDocument/2006/relationships/worksheet" Target="/xl/worksheets/sheet6.xml" Id="Rce0db682ec8a412c" /><Relationship Type="http://schemas.openxmlformats.org/officeDocument/2006/relationships/worksheet" Target="/xl/worksheets/sheet7.xml" Id="Re6278fbd8ae64e83" /><Relationship Type="http://schemas.openxmlformats.org/officeDocument/2006/relationships/worksheet" Target="/xl/worksheets/sheet8.xml" Id="R4a0fd60466414046" /><Relationship Type="http://schemas.openxmlformats.org/officeDocument/2006/relationships/worksheet" Target="/xl/worksheets/sheet9.xml" Id="Re7d5c0a075e64df7" /><Relationship Type="http://schemas.openxmlformats.org/officeDocument/2006/relationships/worksheet" Target="/xl/worksheets/sheet10.xml" Id="R55351d8149894d70" /><Relationship Type="http://schemas.openxmlformats.org/officeDocument/2006/relationships/worksheet" Target="/xl/worksheets/sheet11.xml" Id="R50a5e1a6f5ea4fea" /><Relationship Type="http://schemas.openxmlformats.org/officeDocument/2006/relationships/worksheet" Target="/xl/worksheets/sheet12.xml" Id="R93f00f76414b41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319c3df3f2741a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7a32686cb0c494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adedf5cd59b84da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64e4eb7014284ad6" /><Relationship Type="http://schemas.openxmlformats.org/officeDocument/2006/relationships/chart" Target="/xl/drawings/charts/chart5.xml" Id="Rcdaa6aef3c3542a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DSO</c:v>
          </c:tx>
          <c:spPr>
            <a:ln xmlns:a="http://schemas.openxmlformats.org/drawingml/2006/main" w="28575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'Exhibit 2 - DSO Trend'!$A$33:$A$37</c:f>
              <c:strCache>
                <c:ptCount val="0"/>
              </c:strCache>
            </c:strRef>
          </c:cat>
          <c:val>
            <c:numRef>
              <c:f>'Exhibit 2 - DSO Trend'!$B$33:$B$37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Structural Break</c:v>
          </c:tx>
          <c:spPr>
            <a:solidFill xmlns:a="http://schemas.openxmlformats.org/drawingml/2006/main">
              <a:srgbClr val="D97706"/>
            </a:solidFill>
            <a:ln xmlns:a="http://schemas.openxmlformats.org/drawingml/2006/main" w="28575">
              <a:solidFill>
                <a:srgbClr val="D97706"/>
              </a:solidFill>
              <a:prstDash val="solid"/>
            </a:ln>
          </c:spPr>
          <c:marker>
            <c:symbol val="none"/>
          </c:marker>
          <c:cat>
            <c:strRef>
              <c:f>'Exhibit 2 - DSO Trend'!$A$33:$A$37</c:f>
              <c:strCache>
                <c:ptCount val="0"/>
              </c:strCache>
            </c:strRef>
          </c:cat>
          <c:val>
            <c:numRef>
              <c:f>'Exhibit 2 - DSO Trend'!$C$33:$C$37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DSO (days)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NTT DATA</c:v>
          </c:tx>
          <c:spPr>
            <a:solidFill xmlns:a="http://schemas.openxmlformats.org/drawingml/2006/main">
              <a:srgbClr val="D97706"/>
            </a:solidFill>
          </c:spPr>
          <c:cat>
            <c:strRef>
              <c:f>'Exhibit 3 - Peer DSO'!$A$38:$A$43</c:f>
              <c:strCache>
                <c:ptCount val="0"/>
              </c:strCache>
            </c:strRef>
          </c:cat>
          <c:val>
            <c:numRef>
              <c:f>'Exhibit 3 - Peer DSO'!$B$38:$B$43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Peers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'Exhibit 3 - Peer DSO'!$A$38:$A$43</c:f>
              <c:strCache>
                <c:ptCount val="0"/>
              </c:strCache>
            </c:strRef>
          </c:cat>
          <c:val>
            <c:numRef>
              <c:f>'Exhibit 3 - Peer DSO'!$C$38:$C$43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Peer Median</c:v>
          </c:tx>
          <c:spPr>
            <a:solidFill xmlns:a="http://schemas.openxmlformats.org/drawingml/2006/main">
              <a:srgbClr val="667085"/>
            </a:solidFill>
          </c:spPr>
          <c:cat>
            <c:strRef>
              <c:f>'Exhibit 3 - Peer DSO'!$A$38:$A$43</c:f>
              <c:strCache>
                <c:ptCount val="0"/>
              </c:strCache>
            </c:strRef>
          </c:cat>
          <c:val>
            <c:numRef>
              <c:f>'Exhibit 3 - Peer DSO'!$D$38:$D$43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Other Cases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'Exhibit 5 - DSO Scenarios'!$A$36:$A$40</c:f>
              <c:strCache>
                <c:ptCount val="0"/>
              </c:strCache>
            </c:strRef>
          </c:cat>
          <c:val>
            <c:numRef>
              <c:f>'Exhibit 5 - DSO Scenarios'!$B$36:$B$40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Base</c:v>
          </c:tx>
          <c:spPr>
            <a:solidFill xmlns:a="http://schemas.openxmlformats.org/drawingml/2006/main">
              <a:srgbClr val="D97706"/>
            </a:solidFill>
          </c:spPr>
          <c:cat>
            <c:strRef>
              <c:f>'Exhibit 5 - DSO Scenarios'!$A$36:$A$40</c:f>
              <c:strCache>
                <c:ptCount val="0"/>
              </c:strCache>
            </c:strRef>
          </c:cat>
          <c:val>
            <c:numRef>
              <c:f>'Exhibit 5 - DSO Scenarios'!$C$36:$C$40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Reference Only</c:v>
          </c:tx>
          <c:spPr>
            <a:solidFill xmlns:a="http://schemas.openxmlformats.org/drawingml/2006/main">
              <a:srgbClr val="667085"/>
            </a:solidFill>
          </c:spPr>
          <c:cat>
            <c:strRef>
              <c:f>'Exhibit 5 - DSO Scenarios'!$A$36:$A$40</c:f>
              <c:strCache>
                <c:ptCount val="0"/>
              </c:strCache>
            </c:strRef>
          </c:cat>
          <c:val>
            <c:numRef>
              <c:f>'Exhibit 5 - DSO Scenarios'!$D$36:$D$40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One-time Cash Release (¥bn)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Cash Release (¥bn)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'Exhibit 6 - Opportunity'!$A$35:$A$37</c:f>
              <c:strCache>
                <c:ptCount val="0"/>
              </c:strCache>
            </c:strRef>
          </c:cat>
          <c:val>
            <c:numRef>
              <c:f>'Exhibit 6 - Opportunity'!$B$35:$B$37</c:f>
              <c:numCache>
                <c:formatCode>"¥"#,##0.0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¥&quot;0.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Potential Annual Pre-Tax Financing Benefit (¥bn p.a.)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Annual Benefit — 100% (¥bn)</c:v>
          </c:tx>
          <c:spPr>
            <a:solidFill xmlns:a="http://schemas.openxmlformats.org/drawingml/2006/main">
              <a:srgbClr val="1E6B45"/>
            </a:solidFill>
          </c:spPr>
          <c:cat>
            <c:strRef>
              <c:f>'Exhibit 6 - Opportunity'!$A$35:$A$37</c:f>
              <c:strCache>
                <c:ptCount val="0"/>
              </c:strCache>
            </c:strRef>
          </c:cat>
          <c:val>
            <c:numRef>
              <c:f>'Exhibit 6 - Opportunity'!$C$35:$C$37</c:f>
              <c:numCache>
                <c:formatCode>"¥"#,##0.0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¥&quot;0.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5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19c3df3f2741a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a32686cb0c494a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edf5cd59b84da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e4eb7014284ad6"/>
        </a:graphicData>
      </a:graphic>
    </xdr:graphicFrame>
    <xdr:clientData/>
  </xdr:twoCellAnchor>
  <xdr:twoCellAnchor>
    <xdr:from>
      <xdr:col>8</xdr:col>
      <xdr:colOff>0</xdr:colOff>
      <xdr:row>8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aa6aef3c3542a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cbbd201159004b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8cebea86065a44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f23456b32521445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4.xml" Id="R91b80ae8d3d04257" /></Relationships>
</file>

<file path=xl/worksheets/sheet1.xml><?xml version="1.0" encoding="utf-8"?>
<x:worksheet xmlns:x="http://schemas.openxmlformats.org/spreadsheetml/2006/main">
  <x:sheetPr>
    <x:tabColor rgb="FF667085"/>
  </x:sheetPr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4" t="str">
        <x:v>NTT DATA Working-Capital Research — Final Exhibits</x:v>
      </x:c>
      <x:c r="B2" s="5"/>
      <x:c r="C2" s="5"/>
      <x:c r="D2" s="5"/>
      <x:c r="E2" s="5"/>
      <x:c r="F2" s="5"/>
      <x:c r="G2" s="5"/>
      <x:c r="H2" s="5"/>
    </x:row>
    <x:row r="3" ht="20" customHeight="1">
      <x:c r="A3" s="6" t="str">
        <x:v>Phase 5 Step 2 | Consolidated presentation workbook for final report and portfolio use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21" customHeight="1">
      <x:c r="A5" s="9" t="str">
        <x:v>Purpose and status</x:v>
      </x:c>
      <x:c r="B5" s="10"/>
      <x:c r="C5" s="10"/>
      <x:c r="D5" s="10"/>
      <x:c r="E5" s="10"/>
      <x:c r="F5" s="10"/>
      <x:c r="G5" s="10"/>
      <x:c r="H5" s="11"/>
    </x:row>
    <x:row r="6" ht="30" customHeight="1">
      <x:c r="A6" s="33" t="str">
        <x:v>Workbook purpose</x:v>
      </x:c>
      <x:c r="B6" s="34" t="str">
        <x:v>Bridge the approved Phase 1–4 analysis to the final written research report using clean chart data and six presentation-ready exhibits.</x:v>
      </x:c>
      <x:c r="C6" s="34"/>
      <x:c r="D6" s="34"/>
      <x:c r="E6" s="34"/>
      <x:c r="F6" s="34"/>
      <x:c r="G6" s="34"/>
      <x:c r="H6" s="34"/>
    </x:row>
    <x:row r="7" ht="30" customHeight="1">
      <x:c r="A7" s="35" t="str">
        <x:v>Project status</x:v>
      </x:c>
      <x:c r="B7" s="36" t="str">
        <x:v>Phase 1–4 complete. Phase 5 Step 1 complete. This workbook completes Phase 5 Step 2.</x:v>
      </x:c>
      <x:c r="C7" s="36"/>
      <x:c r="D7" s="36"/>
      <x:c r="E7" s="36"/>
      <x:c r="F7" s="36"/>
      <x:c r="G7" s="36"/>
      <x:c r="H7" s="36"/>
    </x:row>
    <x:row r="8" ht="30" customHeight="1">
      <x:c r="A8" s="35" t="str">
        <x:v>Audience</x:v>
      </x:c>
      <x:c r="B8" s="36" t="str">
        <x:v>External readers evaluating working-capital analysis, corporate-finance reasoning and research communication.</x:v>
      </x:c>
      <x:c r="C8" s="36"/>
      <x:c r="D8" s="36"/>
      <x:c r="E8" s="36"/>
      <x:c r="F8" s="36"/>
      <x:c r="G8" s="36"/>
      <x:c r="H8" s="36"/>
    </x:row>
    <x:row r="9">
      <x:c r="A9" s="37"/>
      <x:c r="B9" s="37"/>
      <x:c r="C9" s="37"/>
      <x:c r="D9" s="37"/>
      <x:c r="E9" s="37"/>
      <x:c r="F9" s="37"/>
      <x:c r="G9" s="37"/>
      <x:c r="H9" s="37"/>
    </x:row>
    <x:row r="10" ht="21" customHeight="1">
      <x:c r="A10" s="38" t="str">
        <x:v>High-level research conclusion</x:v>
      </x:c>
      <x:c r="B10" s="38"/>
      <x:c r="C10" s="38"/>
      <x:c r="D10" s="38"/>
      <x:c r="E10" s="38"/>
      <x:c r="F10" s="38"/>
      <x:c r="G10" s="38"/>
      <x:c r="H10" s="38"/>
    </x:row>
    <x:row r="11">
      <x:c r="A11" s="39" t="str">
        <x:v>NTT DATA does not appear to have a broad working-capital problem. The clearest peer-relative weakness is elevated trade-receivable DSO. Partial convergence toward the peer benchmark could release a meaningful amount of cash and reduce financing requirements.</x:v>
      </x:c>
      <x:c r="B11" s="39"/>
      <x:c r="C11" s="39"/>
      <x:c r="D11" s="39"/>
      <x:c r="E11" s="39"/>
      <x:c r="F11" s="39"/>
      <x:c r="G11" s="39"/>
      <x:c r="H11" s="39"/>
    </x:row>
    <x:row r="12">
      <x:c r="A12" s="39"/>
      <x:c r="B12" s="39"/>
      <x:c r="C12" s="39"/>
      <x:c r="D12" s="39"/>
      <x:c r="E12" s="39"/>
      <x:c r="F12" s="39"/>
      <x:c r="G12" s="39"/>
      <x:c r="H12" s="39"/>
    </x:row>
    <x:row r="13">
      <x:c r="A13" s="39"/>
      <x:c r="B13" s="39"/>
      <x:c r="C13" s="39"/>
      <x:c r="D13" s="39"/>
      <x:c r="E13" s="39"/>
      <x:c r="F13" s="39"/>
      <x:c r="G13" s="39"/>
      <x:c r="H13" s="39"/>
    </x:row>
    <x:row r="14">
      <x:c r="A14" s="37"/>
      <x:c r="B14" s="37"/>
      <x:c r="C14" s="37"/>
      <x:c r="D14" s="37"/>
      <x:c r="E14" s="37"/>
      <x:c r="F14" s="37"/>
      <x:c r="G14" s="37"/>
      <x:c r="H14" s="37"/>
    </x:row>
    <x:row r="15" ht="21" customHeight="1">
      <x:c r="A15" s="38" t="str">
        <x:v>Methodology and units</x:v>
      </x:c>
      <x:c r="B15" s="38"/>
      <x:c r="C15" s="38"/>
      <x:c r="D15" s="38"/>
      <x:c r="E15" s="38"/>
      <x:c r="F15" s="38"/>
      <x:c r="G15" s="38"/>
      <x:c r="H15" s="38"/>
    </x:row>
    <x:row r="16" ht="34" customHeight="1">
      <x:c r="A16" s="35" t="str">
        <x:v>Core methodology</x:v>
      </x:c>
      <x:c r="B16" s="36" t="str">
        <x:v>Historical day metrics use approved average-balance calculations. Peer benchmarks use the median of each company's approved clean-period median, with metric-specific comparability.</x:v>
      </x:c>
      <x:c r="C16" s="36"/>
      <x:c r="D16" s="36"/>
      <x:c r="E16" s="36"/>
      <x:c r="F16" s="36"/>
      <x:c r="G16" s="36"/>
      <x:c r="H16" s="36"/>
    </x:row>
    <x:row r="17" ht="34" customHeight="1">
      <x:c r="A17" s="35" t="str">
        <x:v>Scenario framework</x:v>
      </x:c>
      <x:c r="B17" s="36" t="str">
        <x:v>Conservative, Base and Upside close 25%, 50% and 75% of the approved 22.8724-day DSO gap. Full Convergence is a theoretical reference only.</x:v>
      </x:c>
      <x:c r="C17" s="36"/>
      <x:c r="D17" s="36"/>
      <x:c r="E17" s="36"/>
      <x:c r="F17" s="36"/>
      <x:c r="G17" s="36"/>
      <x:c r="H17" s="36"/>
    </x:row>
    <x:row r="18" ht="34" customHeight="1">
      <x:c r="A18" s="35" t="str">
        <x:v>Cash release</x:v>
      </x:c>
      <x:c r="B18" s="36" t="str">
        <x:v>One-time balance-sheet release estimated from normalized FY2025 Revenue and DSO improvement. It is not profit or recurring annual cash flow.</x:v>
      </x:c>
      <x:c r="C18" s="36"/>
      <x:c r="D18" s="36"/>
      <x:c r="E18" s="36"/>
      <x:c r="F18" s="36"/>
      <x:c r="G18" s="36"/>
      <x:c r="H18" s="36"/>
    </x:row>
    <x:row r="19" ht="34" customHeight="1">
      <x:c r="A19" s="35" t="str">
        <x:v>Financing benefit</x:v>
      </x:c>
      <x:c r="B19" s="36" t="str">
        <x:v>Potential annual pre-tax benefit using the approved 3.84225% historical effective financing-cost proxy. Realization depends on released cash reducing or avoiding financing.</x:v>
      </x:c>
      <x:c r="C19" s="36"/>
      <x:c r="D19" s="36"/>
      <x:c r="E19" s="36"/>
      <x:c r="F19" s="36"/>
      <x:c r="G19" s="36"/>
      <x:c r="H19" s="36"/>
    </x:row>
    <x:row r="20" ht="34" customHeight="1">
      <x:c r="A20" s="35" t="str">
        <x:v>Units</x:v>
      </x:c>
      <x:c r="B20" s="36" t="str">
        <x:v>Day metrics are shown in days. Revenue, cash release and financing benefit are shown in ¥ billion. Cash-conversion ratios are shown as percentages.</x:v>
      </x:c>
      <x:c r="C20" s="36"/>
      <x:c r="D20" s="36"/>
      <x:c r="E20" s="36"/>
      <x:c r="F20" s="36"/>
      <x:c r="G20" s="36"/>
      <x:c r="H20" s="36"/>
    </x:row>
    <x:row r="21" ht="34" customHeight="1">
      <x:c r="A21" s="35" t="str">
        <x:v>Data policy</x:v>
      </x:c>
      <x:c r="B21" s="36" t="str">
        <x:v>All figures derive from approved Phase 1–4 analysis. No new peer set, operating assumption, financing rate, valuation method or investment conclusion was introduced.</x:v>
      </x:c>
      <x:c r="C21" s="36"/>
      <x:c r="D21" s="36"/>
      <x:c r="E21" s="36"/>
      <x:c r="F21" s="36"/>
      <x:c r="G21" s="36"/>
      <x:c r="H21" s="36"/>
    </x:row>
    <x:row r="22">
      <x:c r="A22" s="37"/>
      <x:c r="B22" s="37"/>
      <x:c r="C22" s="37"/>
      <x:c r="D22" s="37"/>
      <x:c r="E22" s="37"/>
      <x:c r="F22" s="37"/>
      <x:c r="G22" s="37"/>
      <x:c r="H22" s="37"/>
    </x:row>
    <x:row r="23" ht="21" customHeight="1">
      <x:c r="A23" s="38" t="str">
        <x:v>Approved source workbooks</x:v>
      </x:c>
      <x:c r="B23" s="38"/>
      <x:c r="C23" s="38"/>
      <x:c r="D23" s="38"/>
      <x:c r="E23" s="38"/>
      <x:c r="F23" s="38"/>
      <x:c r="G23" s="38"/>
      <x:c r="H23" s="38"/>
    </x:row>
    <x:row r="24" ht="22" customHeight="1">
      <x:c r="A24" s="35" t="str">
        <x:v>Phase 1</x:v>
      </x:c>
      <x:c r="B24" s="37" t="str">
        <x:v>NTT_DATA_Phase1_Raw_Data_FY2015-FY2025.xlsx</x:v>
      </x:c>
      <x:c r="C24" s="37"/>
      <x:c r="D24" s="37"/>
      <x:c r="E24" s="37"/>
      <x:c r="F24" s="37"/>
      <x:c r="G24" s="37"/>
      <x:c r="H24" s="37"/>
    </x:row>
    <x:row r="25" ht="22" customHeight="1">
      <x:c r="A25" s="35" t="str">
        <x:v>Phase 3</x:v>
      </x:c>
      <x:c r="B25" s="37" t="str">
        <x:v>NTT_DATA_Phase3_Step3_Normalized_Peer_Data.xlsx</x:v>
      </x:c>
      <x:c r="C25" s="37"/>
      <x:c r="D25" s="37"/>
      <x:c r="E25" s="37"/>
      <x:c r="F25" s="37"/>
      <x:c r="G25" s="37"/>
      <x:c r="H25" s="37"/>
    </x:row>
    <x:row r="26" ht="22" customHeight="1">
      <x:c r="A26" s="35" t="str">
        <x:v>Phase 3</x:v>
      </x:c>
      <x:c r="B26" s="37" t="str">
        <x:v>NTT_DATA_Phase3_Step4_Peer_Benchmarking_FINAL.xlsx</x:v>
      </x:c>
      <x:c r="C26" s="37"/>
      <x:c r="D26" s="37"/>
      <x:c r="E26" s="37"/>
      <x:c r="F26" s="37"/>
      <x:c r="G26" s="37"/>
      <x:c r="H26" s="37"/>
    </x:row>
    <x:row r="27" ht="22" customHeight="1">
      <x:c r="A27" s="35" t="str">
        <x:v>Phase 3</x:v>
      </x:c>
      <x:c r="B27" s="37" t="str">
        <x:v>NTT_DATA_Phase3_Step5_Final_Diagnosis.xlsx</x:v>
      </x:c>
      <x:c r="C27" s="37"/>
      <x:c r="D27" s="37"/>
      <x:c r="E27" s="37"/>
      <x:c r="F27" s="37"/>
      <x:c r="G27" s="37"/>
      <x:c r="H27" s="37"/>
    </x:row>
    <x:row r="28" ht="22" customHeight="1">
      <x:c r="A28" s="35" t="str">
        <x:v>Phase 4</x:v>
      </x:c>
      <x:c r="B28" s="37" t="str">
        <x:v>NTT_DATA_Phase4_Step4_Final_Opportunity_Assessment_FINAL.xlsx</x:v>
      </x:c>
      <x:c r="C28" s="37"/>
      <x:c r="D28" s="37"/>
      <x:c r="E28" s="37"/>
      <x:c r="F28" s="37"/>
      <x:c r="G28" s="37"/>
      <x:c r="H28" s="37"/>
    </x:row>
    <x:row r="29">
      <x:c r="A29" s="37"/>
      <x:c r="B29" s="37"/>
      <x:c r="C29" s="37"/>
      <x:c r="D29" s="37"/>
      <x:c r="E29" s="37"/>
      <x:c r="F29" s="37"/>
      <x:c r="G29" s="37"/>
      <x:c r="H29" s="37"/>
    </x:row>
    <x:row r="30" ht="21" customHeight="1">
      <x:c r="A30" s="38" t="str">
        <x:v>Workbook map</x:v>
      </x:c>
      <x:c r="B30" s="38"/>
      <x:c r="C30" s="38"/>
      <x:c r="D30" s="38"/>
      <x:c r="E30" s="38"/>
      <x:c r="F30" s="38"/>
      <x:c r="G30" s="38"/>
      <x:c r="H30" s="38"/>
    </x:row>
    <x:row r="31" ht="24" customHeight="1">
      <x:c r="A31" s="35" t="str">
        <x:v>NTT Historical Data</x:v>
      </x:c>
      <x:c r="B31" s="36" t="str">
        <x:v>Approved NTT DATA historical day metrics used in Exhibit 2.</x:v>
      </x:c>
      <x:c r="C31" s="36"/>
      <x:c r="D31" s="36"/>
      <x:c r="E31" s="36"/>
      <x:c r="F31" s="36"/>
      <x:c r="G31" s="36"/>
      <x:c r="H31" s="36"/>
    </x:row>
    <x:row r="32" ht="24" customHeight="1">
      <x:c r="A32" s="35" t="str">
        <x:v>Peer Benchmark Data</x:v>
      </x:c>
      <x:c r="B32" s="36" t="str">
        <x:v>Clean-period peer medians and the final report benchmark summary used in Exhibits 3–4.</x:v>
      </x:c>
      <x:c r="C32" s="36"/>
      <x:c r="D32" s="36"/>
      <x:c r="E32" s="36"/>
      <x:c r="F32" s="36"/>
      <x:c r="G32" s="36"/>
      <x:c r="H32" s="36"/>
    </x:row>
    <x:row r="33" ht="24" customHeight="1">
      <x:c r="A33" s="35" t="str">
        <x:v>Opportunity Data</x:v>
      </x:c>
      <x:c r="B33" s="36" t="str">
        <x:v>Approved scenario, cash-release and financing-benefit figures used in Exhibits 5–6.</x:v>
      </x:c>
      <x:c r="C33" s="36"/>
      <x:c r="D33" s="36"/>
      <x:c r="E33" s="36"/>
      <x:c r="F33" s="36"/>
      <x:c r="G33" s="36"/>
      <x:c r="H33" s="36"/>
    </x:row>
    <x:row r="34" ht="24" customHeight="1">
      <x:c r="A34" s="35" t="str">
        <x:v>Exhibit 1 - Operating Cycle</x:v>
      </x:c>
      <x:c r="B34" s="36" t="str">
        <x:v>Conceptual operating-cycle flow and funding offsets.</x:v>
      </x:c>
      <x:c r="C34" s="36"/>
      <x:c r="D34" s="36"/>
      <x:c r="E34" s="36"/>
      <x:c r="F34" s="36"/>
      <x:c r="G34" s="36"/>
      <x:c r="H34" s="36"/>
    </x:row>
    <x:row r="35" ht="24" customHeight="1">
      <x:c r="A35" s="35" t="str">
        <x:v>Exhibit 2 - DSO Trend</x:v>
      </x:c>
      <x:c r="B35" s="36" t="str">
        <x:v>FY2019–FY2023 DSO line chart with FY2022 structural break retained.</x:v>
      </x:c>
      <x:c r="C35" s="36"/>
      <x:c r="D35" s="36"/>
      <x:c r="E35" s="36"/>
      <x:c r="F35" s="36"/>
      <x:c r="G35" s="36"/>
      <x:c r="H35" s="36"/>
    </x:row>
    <x:row r="36" ht="24" customHeight="1">
      <x:c r="A36" s="35" t="str">
        <x:v>Exhibit 3 - Peer DSO</x:v>
      </x:c>
      <x:c r="B36" s="36" t="str">
        <x:v>NTT DATA clean-period DSO versus comparable peers and peer median.</x:v>
      </x:c>
      <x:c r="C36" s="36"/>
      <x:c r="D36" s="36"/>
      <x:c r="E36" s="36"/>
      <x:c r="F36" s="36"/>
      <x:c r="G36" s="36"/>
      <x:c r="H36" s="36"/>
    </x:row>
    <x:row r="37" ht="24" customHeight="1">
      <x:c r="A37" s="35" t="str">
        <x:v>Exhibit 4 - WC Context</x:v>
      </x:c>
      <x:c r="B37" s="36" t="str">
        <x:v>Metric-specific peer comparison showing receivables as the concentrated weakness.</x:v>
      </x:c>
      <x:c r="C37" s="36"/>
      <x:c r="D37" s="36"/>
      <x:c r="E37" s="36"/>
      <x:c r="F37" s="36"/>
      <x:c r="G37" s="36"/>
      <x:c r="H37" s="36"/>
    </x:row>
    <x:row r="38" ht="24" customHeight="1">
      <x:c r="A38" s="35" t="str">
        <x:v>Exhibit 5 - DSO Scenarios</x:v>
      </x:c>
      <x:c r="B38" s="36" t="str">
        <x:v>Resulting DSO under partial-convergence scenarios.</x:v>
      </x:c>
      <x:c r="C38" s="36"/>
      <x:c r="D38" s="36"/>
      <x:c r="E38" s="36"/>
      <x:c r="F38" s="36"/>
      <x:c r="G38" s="36"/>
      <x:c r="H38" s="36"/>
    </x:row>
    <x:row r="39" ht="24" customHeight="1">
      <x:c r="A39" s="35" t="str">
        <x:v>Exhibit 6 - Opportunity</x:v>
      </x:c>
      <x:c r="B39" s="36" t="str">
        <x:v>One-time cash release and conditional annual financing benefit.</x:v>
      </x:c>
      <x:c r="C39" s="36"/>
      <x:c r="D39" s="36"/>
      <x:c r="E39" s="36"/>
      <x:c r="F39" s="36"/>
      <x:c r="G39" s="36"/>
      <x:c r="H39" s="36"/>
    </x:row>
    <x:row r="40" ht="24" customHeight="1">
      <x:c r="A40" s="35" t="str">
        <x:v>Sources</x:v>
      </x:c>
      <x:c r="B40" s="36" t="str">
        <x:v>Exhibit-level source register with workbook, sheet and range traceability.</x:v>
      </x:c>
      <x:c r="C40" s="36"/>
      <x:c r="D40" s="36"/>
      <x:c r="E40" s="36"/>
      <x:c r="F40" s="36"/>
      <x:c r="G40" s="36"/>
      <x:c r="H40" s="36"/>
    </x:row>
    <x:row r="41" ht="24" customHeight="1">
      <x:c r="A41" s="40" t="str">
        <x:v>Final QA</x:v>
      </x:c>
      <x:c r="B41" s="41" t="str">
        <x:v>Completed data, formula, interpretation and visual review checks.</x:v>
      </x:c>
      <x:c r="C41" s="41"/>
      <x:c r="D41" s="41"/>
      <x:c r="E41" s="41"/>
      <x:c r="F41" s="41"/>
      <x:c r="G41" s="41"/>
      <x:c r="H41" s="41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</x:sheetData>
  <x:mergeCells>
    <x:mergeCell ref="B6:H6"/>
    <x:mergeCell ref="B7:H7"/>
    <x:mergeCell ref="B8:H8"/>
    <x:mergeCell ref="A11:H13"/>
    <x:mergeCell ref="B16:H16"/>
    <x:mergeCell ref="B17:H17"/>
    <x:mergeCell ref="B18:H18"/>
    <x:mergeCell ref="B19:H19"/>
    <x:mergeCell ref="B20:H20"/>
    <x:mergeCell ref="B21:H21"/>
    <x:mergeCell ref="B24:H24"/>
    <x:mergeCell ref="B25:H25"/>
    <x:mergeCell ref="B26:H26"/>
    <x:mergeCell ref="B27:H27"/>
    <x:mergeCell ref="B28:H28"/>
    <x:mergeCell ref="B31:H31"/>
    <x:mergeCell ref="B32:H32"/>
    <x:mergeCell ref="B33:H33"/>
    <x:mergeCell ref="B34:H34"/>
    <x:mergeCell ref="B35:H35"/>
    <x:mergeCell ref="B36:H36"/>
    <x:mergeCell ref="B37:H37"/>
    <x:mergeCell ref="B38:H38"/>
    <x:mergeCell ref="B39:H39"/>
    <x:mergeCell ref="B40:H40"/>
    <x:mergeCell ref="B41:H4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2E3C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22" hidden="0" customWidth="1"/>
    <x:col min="4" max="4" width="14" hidden="0" customWidth="1"/>
    <x:col min="5" max="5" width="14" hidden="0" customWidth="1"/>
    <x:col min="6" max="6" width="25" hidden="0" customWidth="1"/>
    <x:col min="7" max="7" width="52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4" customHeight="1">
      <x:c r="A2" s="4" t="str">
        <x:v>NTT DATA Historical Working-Capital Metrics</x:v>
      </x:c>
      <x:c r="B2" s="5"/>
      <x:c r="C2" s="5"/>
      <x:c r="D2" s="5"/>
      <x:c r="E2" s="5"/>
      <x:c r="F2" s="5"/>
      <x:c r="G2" s="5"/>
    </x:row>
    <x:row r="3" ht="20" customHeight="1">
      <x:c r="A3" s="6" t="str">
        <x:v>Approved Phase 3 annual day calculations | FY2022 retained and explicitly flagged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32" customHeight="1">
      <x:c r="A6" s="50" t="str">
        <x:v>Fiscal Year</x:v>
      </x:c>
      <x:c r="B6" s="51" t="str">
        <x:v>DSO</x:v>
      </x:c>
      <x:c r="C6" s="51" t="str">
        <x:v>Contract Asset Days</x:v>
      </x:c>
      <x:c r="D6" s="51" t="str">
        <x:v>DIO</x:v>
      </x:c>
      <x:c r="E6" s="51" t="str">
        <x:v>DPO</x:v>
      </x:c>
      <x:c r="F6" s="51" t="str">
        <x:v>Contract Liability Days</x:v>
      </x:c>
      <x:c r="G6" s="52" t="str">
        <x:v>Structural Note</x:v>
      </x:c>
    </x:row>
    <x:row r="7" ht="27" customHeight="1">
      <x:c r="A7" s="53" t="str">
        <x:v>FY2019</x:v>
      </x:c>
      <x:c r="B7" s="56" t="n">
        <x:v>79.89716817657252</x:v>
      </x:c>
      <x:c r="C7" s="56" t="n">
        <x:v>12.62045682739782</x:v>
      </x:c>
      <x:c r="D7" s="56" t="n">
        <x:v>3.12545992303684</x:v>
      </x:c>
      <x:c r="E7" s="56" t="n">
        <x:v>30.487369414314013</x:v>
      </x:c>
      <x:c r="F7" s="58" t="n">
        <x:v>38.28348276519229</x:v>
      </x:c>
      <x:c r="G7" s="34" t="str">
        <x:v>Clean period</x:v>
      </x:c>
    </x:row>
    <x:row r="8" ht="27" customHeight="1">
      <x:c r="A8" s="37" t="str">
        <x:v>FY2020</x:v>
      </x:c>
      <x:c r="B8" s="57" t="n">
        <x:v>80.31396933053516</x:v>
      </x:c>
      <x:c r="C8" s="57" t="n">
        <x:v>13.8783425584972</x:v>
      </x:c>
      <x:c r="D8" s="57" t="n">
        <x:v>2.9681667486504395</x:v>
      </x:c>
      <x:c r="E8" s="57" t="n">
        <x:v>30.756618916164914</x:v>
      </x:c>
      <x:c r="F8" s="59" t="n">
        <x:v>41.476979356162055</x:v>
      </x:c>
      <x:c r="G8" s="36" t="str">
        <x:v>Clean period</x:v>
      </x:c>
    </x:row>
    <x:row r="9" ht="27" customHeight="1">
      <x:c r="A9" s="37" t="str">
        <x:v>FY2021</x:v>
      </x:c>
      <x:c r="B9" s="57" t="n">
        <x:v>78.57336339974906</x:v>
      </x:c>
      <x:c r="C9" s="57" t="n">
        <x:v>14.801709976778142</x:v>
      </x:c>
      <x:c r="D9" s="57" t="n">
        <x:v>3.8822149214458737</x:v>
      </x:c>
      <x:c r="E9" s="57" t="n">
        <x:v>30.999055655300058</x:v>
      </x:c>
      <x:c r="F9" s="59" t="n">
        <x:v>39.62498422747546</x:v>
      </x:c>
      <x:c r="G9" s="36" t="str">
        <x:v>Clean period</x:v>
      </x:c>
    </x:row>
    <x:row r="10" ht="27" customHeight="1">
      <x:c r="A10" s="60" t="str">
        <x:v>FY2022</x:v>
      </x:c>
      <x:c r="B10" s="61" t="n">
        <x:v>87.33816746519236</x:v>
      </x:c>
      <x:c r="C10" s="61" t="n">
        <x:v>11.947374807388268</x:v>
      </x:c>
      <x:c r="D10" s="61" t="n">
        <x:v>7.224104615825554</x:v>
      </x:c>
      <x:c r="E10" s="61" t="n">
        <x:v>40.08685144714769</x:v>
      </x:c>
      <x:c r="F10" s="62" t="n">
        <x:v>37.94494814310543</x:v>
      </x:c>
      <x:c r="G10" s="63" t="str">
        <x:v>FY2022 — Structural Break: NTT Ltd. consolidated during the year</x:v>
      </x:c>
    </x:row>
    <x:row r="11" ht="27" customHeight="1">
      <x:c r="A11" s="37" t="str">
        <x:v>FY2023</x:v>
      </x:c>
      <x:c r="B11" s="57" t="n">
        <x:v>98.23931449170867</x:v>
      </x:c>
      <x:c r="C11" s="57" t="n">
        <x:v>11.439024066335318</x:v>
      </x:c>
      <x:c r="D11" s="57" t="n">
        <x:v>7.332627037836403</x:v>
      </x:c>
      <x:c r="E11" s="57" t="n">
        <x:v>49.431147379241274</x:v>
      </x:c>
      <x:c r="F11" s="59" t="n">
        <x:v>39.64328498939984</x:v>
      </x:c>
      <x:c r="G11" s="36" t="str">
        <x:v>Clean period; first full post-consolidation year</x:v>
      </x:c>
    </x:row>
    <x:row r="12">
      <x:c r="A12" s="2"/>
      <x:c r="B12" s="2"/>
      <x:c r="C12" s="2"/>
      <x:c r="D12" s="2"/>
      <x:c r="E12" s="2"/>
      <x:c r="F12" s="2"/>
      <x:c r="G12" s="2"/>
    </x:row>
    <x:row r="13" ht="21" customHeight="1">
      <x:c r="A13" s="9" t="str">
        <x:v>Notes</x:v>
      </x:c>
      <x:c r="B13" s="10"/>
      <x:c r="C13" s="10"/>
      <x:c r="D13" s="10"/>
      <x:c r="E13" s="10"/>
      <x:c r="F13" s="10"/>
      <x:c r="G13" s="11"/>
    </x:row>
    <x:row r="14" ht="27" customHeight="1">
      <x:c r="A14" s="12" t="str">
        <x:v>FY2022 treatment</x:v>
      </x:c>
      <x:c r="B14" s="13" t="str">
        <x:v>The structural year remains visible in the historical series but is excluded from clean-period benchmark medians.</x:v>
      </x:c>
      <x:c r="C14" s="13"/>
      <x:c r="D14" s="13"/>
      <x:c r="E14" s="13"/>
      <x:c r="F14" s="13"/>
      <x:c r="G14" s="13"/>
    </x:row>
    <x:row r="15" ht="27" customHeight="1">
      <x:c r="A15" s="12" t="str">
        <x:v>Missing values</x:v>
      </x:c>
      <x:c r="B15" s="13" t="str">
        <x:v>Unavailable data would be shown as N/A, never zero. All five requested metrics are available for FY2019–FY2023.</x:v>
      </x:c>
      <x:c r="C15" s="13"/>
      <x:c r="D15" s="13"/>
      <x:c r="E15" s="13"/>
      <x:c r="F15" s="13"/>
      <x:c r="G15" s="13"/>
    </x:row>
    <x:row r="16" ht="27" customHeight="1">
      <x:c r="A16" s="12" t="str">
        <x:v>Metric basis</x:v>
      </x:c>
      <x:c r="B16" s="13" t="str">
        <x:v>DSO, Contract Asset Days and Contract Liability Days use Revenue. DIO and DPO use the approved direct-cost base.</x:v>
      </x:c>
      <x:c r="C16" s="13"/>
      <x:c r="D16" s="13"/>
      <x:c r="E16" s="13"/>
      <x:c r="F16" s="13"/>
      <x:c r="G16" s="13"/>
    </x:row>
  </x:sheetData>
  <x:mergeCells>
    <x:mergeCell ref="B14:G14"/>
    <x:mergeCell ref="B15:G15"/>
    <x:mergeCell ref="B16:G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2E3C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21" hidden="0" customWidth="1"/>
    <x:col min="4" max="4" width="23" hidden="0" customWidth="1"/>
    <x:col min="5" max="5" width="25" hidden="0" customWidth="1"/>
    <x:col min="6" max="6" width="24" hidden="0" customWidth="1"/>
    <x:col min="7" max="7" width="58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4" customHeight="1">
      <x:c r="A2" s="4" t="str">
        <x:v>Clean-Period Peer Benchmark Data</x:v>
      </x:c>
      <x:c r="B2" s="5"/>
      <x:c r="C2" s="5"/>
      <x:c r="D2" s="5"/>
      <x:c r="E2" s="5"/>
      <x:c r="F2" s="5"/>
      <x:c r="G2" s="5"/>
    </x:row>
    <x:row r="3" ht="20" customHeight="1">
      <x:c r="A3" s="6" t="str">
        <x:v>Company figures are approved clean-period medians; benchmark construction remains metric-specific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32" customHeight="1">
      <x:c r="A6" s="50" t="str">
        <x:v>Company</x:v>
      </x:c>
      <x:c r="B6" s="51" t="str">
        <x:v>DSO</x:v>
      </x:c>
      <x:c r="C6" s="51" t="str">
        <x:v>Contract Asset Days</x:v>
      </x:c>
      <x:c r="D6" s="51" t="str">
        <x:v>DPO</x:v>
      </x:c>
      <x:c r="E6" s="51" t="str">
        <x:v>Contract Liability Days</x:v>
      </x:c>
      <x:c r="F6" s="51" t="str">
        <x:v>CFO / Standardized EBITDA</x:v>
      </x:c>
      <x:c r="G6" s="52" t="str">
        <x:v>Comparability note</x:v>
      </x:c>
    </x:row>
    <x:row r="7" ht="30" customHeight="1">
      <x:c r="A7" s="68" t="str">
        <x:v>NTT DATA</x:v>
      </x:c>
      <x:c r="B7" s="69" t="n">
        <x:v>80.10556875355384</x:v>
      </x:c>
      <x:c r="C7" s="69" t="n">
        <x:v>13.753285892482076</x:v>
      </x:c>
      <x:c r="D7" s="69" t="n">
        <x:v>30.877837285732486</x:v>
      </x:c>
      <x:c r="E7" s="69" t="n">
        <x:v>39.53211660721341</x:v>
      </x:c>
      <x:c r="F7" s="70" t="n">
        <x:v>0.7787833213062689</x:v>
      </x:c>
      <x:c r="G7" s="71" t="str">
        <x:v>Approved NTT DATA clean-period median; FY2022 excluded where structurally affected.</x:v>
      </x:c>
    </x:row>
    <x:row r="8" ht="30" customHeight="1">
      <x:c r="A8" s="37" t="str">
        <x:v>Accenture</x:v>
      </x:c>
      <x:c r="B8" s="57" t="n">
        <x:v>60.27637572491592</x:v>
      </x:c>
      <x:c r="C8" s="57" t="n">
        <x:v>8.491029022841289</x:v>
      </x:c>
      <x:c r="D8" s="57" t="n">
        <x:v>21.056652477900357</x:v>
      </x:c>
      <x:c r="E8" s="57" t="n">
        <x:v>31.994414980760734</x:v>
      </x:c>
      <x:c r="F8" s="67" t="n">
        <x:v>0.9327783830285339</x:v>
      </x:c>
      <x:c r="G8" s="36" t="str">
        <x:v>Five approved clean years.</x:v>
      </x:c>
    </x:row>
    <x:row r="9" ht="30" customHeight="1">
      <x:c r="A9" s="37" t="str">
        <x:v>Capgemini</x:v>
      </x:c>
      <x:c r="B9" s="57" t="n">
        <x:v>54.190011766835624</x:v>
      </x:c>
      <x:c r="C9" s="57" t="n">
        <x:v>26.762367491166074</x:v>
      </x:c>
      <x:c r="D9" s="57" t="n">
        <x:v>36.74308401639344</x:v>
      </x:c>
      <x:c r="E9" s="57" t="n">
        <x:v>22.705132759080012</x:v>
      </x:c>
      <x:c r="F9" s="67" t="n">
        <x:v>0.8289560078791858</x:v>
      </x:c>
      <x:c r="G9" s="36" t="str">
        <x:v>Five approved clean years; FY2025 WNS excluded.</x:v>
      </x:c>
    </x:row>
    <x:row r="10" ht="30" customHeight="1">
      <x:c r="A10" s="37" t="str">
        <x:v>CGI</x:v>
      </x:c>
      <x:c r="B10" s="57" t="n">
        <x:v>28.235128663153667</x:v>
      </x:c>
      <x:c r="C10" s="57" t="n">
        <x:v>29.81416545890003</x:v>
      </x:c>
      <x:c r="D10" s="57" t="str">
        <x:v>N/A — not comparable</x:v>
      </x:c>
      <x:c r="E10" s="57" t="n">
        <x:v>12.755355069062807</x:v>
      </x:c>
      <x:c r="F10" s="67" t="n">
        <x:v>0.7680429488598627</x:v>
      </x:c>
      <x:c r="G10" s="36" t="str">
        <x:v>Pure trade payables unavailable; CGI therefore excluded from the DPO benchmark.</x:v>
      </x:c>
    </x:row>
    <x:row r="11" ht="30" customHeight="1">
      <x:c r="A11" s="37" t="str">
        <x:v>TCS</x:v>
      </x:c>
      <x:c r="B11" s="57" t="n">
        <x:v>78.80683539994935</x:v>
      </x:c>
      <x:c r="C11" s="57" t="n">
        <x:v>9.055523570052168</x:v>
      </x:c>
      <x:c r="D11" s="57" t="n">
        <x:v>26.04909641700616</x:v>
      </x:c>
      <x:c r="E11" s="57" t="n">
        <x:v>6.794136815930725</x:v>
      </x:c>
      <x:c r="F11" s="67" t="n">
        <x:v>0.7255626270268667</x:v>
      </x:c>
      <x:c r="G11" s="36" t="str">
        <x:v>TCS trade AR includes billed and unbilled trade AR; true contract assets remain separately identified.</x:v>
      </x:c>
    </x:row>
    <x:row r="12" ht="30" customHeight="1">
      <x:c r="A12" s="76" t="str">
        <x:v>Peer Median</x:v>
      </x:c>
      <x:c r="B12" s="77" t="n">
        <x:v>57.233193745875774</x:v>
      </x:c>
      <x:c r="C12" s="77" t="n">
        <x:v>17.90894553060912</x:v>
      </x:c>
      <x:c r="D12" s="77" t="n">
        <x:v>26.04909641700616</x:v>
      </x:c>
      <x:c r="E12" s="77" t="n">
        <x:v>17.73024391407141</x:v>
      </x:c>
      <x:c r="F12" s="78" t="n">
        <x:v>0.7984994783695243</x:v>
      </x:c>
      <x:c r="G12" s="79" t="str">
        <x:v>Median of valid external company clean-period medians; DPO uses three peers.</x:v>
      </x:c>
    </x:row>
    <x:row r="13">
      <x:c r="A13" s="2"/>
      <x:c r="B13" s="2"/>
      <x:c r="C13" s="2"/>
      <x:c r="D13" s="2"/>
      <x:c r="E13" s="2"/>
      <x:c r="F13" s="2"/>
      <x:c r="G13" s="2"/>
    </x:row>
    <x:row r="14">
      <x:c r="A14" s="2"/>
      <x:c r="B14" s="2"/>
      <x:c r="C14" s="2"/>
      <x:c r="D14" s="2"/>
      <x:c r="E14" s="2"/>
      <x:c r="F14" s="2"/>
      <x:c r="G14" s="2"/>
    </x:row>
    <x:row r="15" ht="21" customHeight="1">
      <x:c r="A15" s="9" t="str">
        <x:v>Final report benchmark summary</x:v>
      </x:c>
      <x:c r="B15" s="10"/>
      <x:c r="C15" s="10"/>
      <x:c r="D15" s="10"/>
      <x:c r="E15" s="10"/>
      <x:c r="F15" s="10"/>
      <x:c r="G15" s="11"/>
    </x:row>
    <x:row r="16" ht="32" customHeight="1">
      <x:c r="A16" s="50" t="str">
        <x:v>Metric</x:v>
      </x:c>
      <x:c r="B16" s="51" t="str">
        <x:v>NTT DATA</x:v>
      </x:c>
      <x:c r="C16" s="51" t="str">
        <x:v>Benchmark</x:v>
      </x:c>
      <x:c r="D16" s="51" t="str">
        <x:v>Gap</x:v>
      </x:c>
      <x:c r="E16" s="51" t="str">
        <x:v>Benchmark Type</x:v>
      </x:c>
      <x:c r="F16" s="52" t="str">
        <x:v>Interpretation</x:v>
      </x:c>
      <x:c r="G16" s="2"/>
    </x:row>
    <x:row r="17" ht="25" customHeight="1">
      <x:c r="A17" s="91" t="str">
        <x:v>DSO</x:v>
      </x:c>
      <x:c r="B17" s="92" t="n">
        <x:f>B7</x:f>
        <x:v>80.10556875355384</x:v>
      </x:c>
      <x:c r="C17" s="92" t="n">
        <x:f>B12</x:f>
        <x:v>57.233193745875774</x:v>
      </x:c>
      <x:c r="D17" s="93" t="n">
        <x:f>B17-C17</x:f>
        <x:v>22.872375007678066</x:v>
      </x:c>
      <x:c r="E17" s="94" t="str">
        <x:v>Multi-peer</x:v>
      </x:c>
      <x:c r="F17" s="101" t="str">
        <x:v>Material relative weakness</x:v>
      </x:c>
      <x:c r="G17" s="2"/>
    </x:row>
    <x:row r="18" ht="25" customHeight="1">
      <x:c r="A18" s="95" t="str">
        <x:v>Contract Asset Days</x:v>
      </x:c>
      <x:c r="B18" s="96" t="n">
        <x:f>C7</x:f>
        <x:v>13.753285892482076</x:v>
      </x:c>
      <x:c r="C18" s="96" t="n">
        <x:f>C12</x:f>
        <x:v>17.90894553060912</x:v>
      </x:c>
      <x:c r="D18" s="97" t="n">
        <x:f>B18-C18</x:f>
        <x:v>-4.1556596381270445</x:v>
      </x:c>
      <x:c r="E18" s="98" t="str">
        <x:v>Multi-peer</x:v>
      </x:c>
      <x:c r="F18" s="102" t="str">
        <x:v>Relative strength</x:v>
      </x:c>
      <x:c r="G18" s="2"/>
    </x:row>
    <x:row r="19" ht="25" customHeight="1">
      <x:c r="A19" s="95" t="str">
        <x:v>DPO</x:v>
      </x:c>
      <x:c r="B19" s="96" t="n">
        <x:f>D7</x:f>
        <x:v>30.877837285732486</x:v>
      </x:c>
      <x:c r="C19" s="96" t="n">
        <x:f>D12</x:f>
        <x:v>26.04909641700616</x:v>
      </x:c>
      <x:c r="D19" s="97" t="n">
        <x:f>B19-C19</x:f>
        <x:v>4.8287408687263245</x:v>
      </x:c>
      <x:c r="E19" s="98" t="str">
        <x:v>Multi-peer</x:v>
      </x:c>
      <x:c r="F19" s="102" t="str">
        <x:v>Modest funding advantage</x:v>
      </x:c>
      <x:c r="G19" s="2"/>
    </x:row>
    <x:row r="20" ht="25" customHeight="1">
      <x:c r="A20" s="95" t="str">
        <x:v>Contract Liability Days</x:v>
      </x:c>
      <x:c r="B20" s="96" t="n">
        <x:f>E7</x:f>
        <x:v>39.53211660721341</x:v>
      </x:c>
      <x:c r="C20" s="96" t="n">
        <x:f>E12</x:f>
        <x:v>17.73024391407141</x:v>
      </x:c>
      <x:c r="D20" s="97" t="n">
        <x:f>B20-C20</x:f>
        <x:v>21.801872693142002</x:v>
      </x:c>
      <x:c r="E20" s="98" t="str">
        <x:v>Multi-peer</x:v>
      </x:c>
      <x:c r="F20" s="102" t="str">
        <x:v>Material customer-funding advantage</x:v>
      </x:c>
      <x:c r="G20" s="2"/>
    </x:row>
    <x:row r="21" ht="25" customHeight="1">
      <x:c r="A21" s="72" t="str">
        <x:v>CFO / Standardized EBITDA</x:v>
      </x:c>
      <x:c r="B21" s="74" t="n">
        <x:f>F7</x:f>
        <x:v>0.7787833213062689</x:v>
      </x:c>
      <x:c r="C21" s="74" t="n">
        <x:f>F12</x:f>
        <x:v>0.7984994783695243</x:v>
      </x:c>
      <x:c r="D21" s="99" t="n">
        <x:f>B21-C21</x:f>
        <x:v>-0.019716157063255357</x:v>
      </x:c>
      <x:c r="E21" s="100" t="str">
        <x:v>Multi-peer</x:v>
      </x:c>
      <x:c r="F21" s="75" t="str">
        <x:v>Broadly near peers</x:v>
      </x:c>
      <x:c r="G21" s="2"/>
    </x:row>
    <x:row r="22">
      <x:c r="A22" s="2"/>
      <x:c r="B22" s="2"/>
      <x:c r="C22" s="2"/>
      <x:c r="D22" s="2"/>
      <x:c r="E22" s="2"/>
      <x:c r="F22" s="2"/>
      <x:c r="G22" s="2"/>
    </x:row>
    <x:row r="23">
      <x:c r="A23" s="2"/>
      <x:c r="B23" s="2"/>
      <x:c r="C23" s="2"/>
      <x:c r="D23" s="2"/>
      <x:c r="E23" s="2"/>
      <x:c r="F23" s="2"/>
      <x:c r="G23" s="2"/>
    </x:row>
    <x:row r="24" ht="27" customHeight="1">
      <x:c r="A24" s="12" t="str">
        <x:v>Benchmark policy</x:v>
      </x:c>
      <x:c r="B24" s="13" t="str">
        <x:v>One vote per valid external company. The peer benchmark is the median of company clean-period medians.</x:v>
      </x:c>
      <x:c r="C24" s="13"/>
      <x:c r="D24" s="13"/>
      <x:c r="E24" s="13"/>
      <x:c r="F24" s="13"/>
      <x:c r="G24" s="13"/>
    </x:row>
    <x:row r="25" ht="27" customHeight="1">
      <x:c r="A25" s="12" t="str">
        <x:v>Comparability</x:v>
      </x:c>
      <x:c r="B25" s="13" t="str">
        <x:v>Unavailable or non-comparable values remain N/A and are excluded only for the affected metric.</x:v>
      </x:c>
      <x:c r="C25" s="13"/>
      <x:c r="D25" s="13"/>
      <x:c r="E25" s="13"/>
      <x:c r="F25" s="13"/>
      <x:c r="G25" s="13"/>
    </x:row>
    <x:row r="26" ht="27" customHeight="1">
      <x:c r="A26" s="12" t="str">
        <x:v>Interpretation</x:v>
      </x:c>
      <x:c r="B26" s="13" t="str">
        <x:v>A peer gap identifies relative position. It does not establish that the full difference is operationally removable.</x:v>
      </x:c>
      <x:c r="C26" s="13"/>
      <x:c r="D26" s="13"/>
      <x:c r="E26" s="13"/>
      <x:c r="F26" s="13"/>
      <x:c r="G26" s="13"/>
    </x:row>
    <x:row r="27">
      <x:c r="A27" s="2"/>
      <x:c r="B27" s="2"/>
      <x:c r="C27" s="2"/>
      <x:c r="D27" s="2"/>
      <x:c r="E27" s="2"/>
      <x:c r="F27" s="2"/>
      <x:c r="G27" s="2"/>
    </x:row>
    <x:row r="28">
      <x:c r="A28" s="2"/>
      <x:c r="B28" s="2"/>
      <x:c r="C28" s="2"/>
      <x:c r="D28" s="2"/>
      <x:c r="E28" s="2"/>
      <x:c r="F28" s="2"/>
      <x:c r="G28" s="2"/>
    </x:row>
  </x:sheetData>
  <x:mergeCells>
    <x:mergeCell ref="B24:G24"/>
    <x:mergeCell ref="B25:G25"/>
    <x:mergeCell ref="B26:G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A7F8E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9" hidden="0" customWidth="1"/>
    <x:col min="4" max="4" width="31" hidden="0" customWidth="1"/>
    <x:col min="5" max="5" width="28" hidden="0" customWidth="1"/>
    <x:col min="6" max="6" width="30" hidden="0" customWidth="1"/>
    <x:col min="7" max="7" width="30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4" customHeight="1">
      <x:c r="A2" s="4" t="str">
        <x:v>Approved DSO Opportunity Data</x:v>
      </x:c>
      <x:c r="B2" s="5"/>
      <x:c r="C2" s="5"/>
      <x:c r="D2" s="5"/>
      <x:c r="E2" s="5"/>
      <x:c r="F2" s="5"/>
      <x:c r="G2" s="5"/>
    </x:row>
    <x:row r="3" ht="20" customHeight="1">
      <x:c r="A3" s="6" t="str">
        <x:v>Definitive Phase 4 Step 4 scenario outputs | Base remains the primary scenario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21" customHeight="1">
      <x:c r="A5" s="9" t="str">
        <x:v>Approved inputs and controls</x:v>
      </x:c>
      <x:c r="B5" s="10"/>
      <x:c r="C5" s="10"/>
      <x:c r="D5" s="10"/>
      <x:c r="E5" s="10"/>
      <x:c r="F5" s="10"/>
      <x:c r="G5" s="11"/>
    </x:row>
    <x:row r="6" ht="24" customHeight="1">
      <x:c r="A6" s="33" t="str">
        <x:v>Normalized FY2025 Revenue (¥bn)</x:v>
      </x:c>
      <x:c r="B6" s="107" t="n">
        <x:v>4875.1</x:v>
      </x:c>
      <x:c r="C6" s="53"/>
      <x:c r="D6" s="33" t="str">
        <x:v>Selected financing-cost proxy</x:v>
      </x:c>
      <x:c r="E6" s="108" t="n">
        <x:v>0.03842250004712644</x:v>
      </x:c>
      <x:c r="F6" s="2"/>
      <x:c r="G6" s="2"/>
    </x:row>
    <x:row r="7" ht="24" customHeight="1">
      <x:c r="A7" s="35" t="str">
        <x:v>Clean-period baseline DSO</x:v>
      </x:c>
      <x:c r="B7" s="55" t="n">
        <x:v>80.10556875355384</x:v>
      </x:c>
      <x:c r="C7" s="37"/>
      <x:c r="D7" s="35" t="str">
        <x:v>Primary scenario</x:v>
      </x:c>
      <x:c r="E7" s="37" t="str">
        <x:v>Base — 50% gap closure</x:v>
      </x:c>
      <x:c r="F7" s="2"/>
      <x:c r="G7" s="2"/>
    </x:row>
    <x:row r="8" ht="24" customHeight="1">
      <x:c r="A8" s="35" t="str">
        <x:v>Peer median DSO</x:v>
      </x:c>
      <x:c r="B8" s="55" t="n">
        <x:v>57.233193745875774</x:v>
      </x:c>
      <x:c r="C8" s="37"/>
      <x:c r="D8" s="35" t="str">
        <x:v>Financing-utilization reference</x:v>
      </x:c>
      <x:c r="E8" s="65" t="n">
        <x:v>0.75</x:v>
      </x:c>
      <x:c r="F8" s="2"/>
      <x:c r="G8" s="2"/>
    </x:row>
    <x:row r="9" ht="24" customHeight="1">
      <x:c r="A9" s="40" t="str">
        <x:v>Theoretical DSO gap</x:v>
      </x:c>
      <x:c r="B9" s="109" t="n">
        <x:f>B7-B8</x:f>
        <x:v>22.872375007678066</x:v>
      </x:c>
      <x:c r="C9" s="110"/>
      <x:c r="D9" s="40" t="str">
        <x:v>Full Convergence</x:v>
      </x:c>
      <x:c r="E9" s="110" t="str">
        <x:v>Reference only</x:v>
      </x:c>
      <x:c r="F9" s="2"/>
      <x:c r="G9" s="2"/>
    </x:row>
    <x:row r="10">
      <x:c r="A10" s="2"/>
      <x:c r="B10" s="2"/>
      <x:c r="C10" s="2"/>
      <x:c r="D10" s="2"/>
      <x:c r="E10" s="2"/>
      <x:c r="F10" s="2"/>
      <x:c r="G10" s="2"/>
    </x:row>
    <x:row r="11">
      <x:c r="A11" s="2"/>
      <x:c r="B11" s="2"/>
      <x:c r="C11" s="2"/>
      <x:c r="D11" s="2"/>
      <x:c r="E11" s="2"/>
      <x:c r="F11" s="2"/>
      <x:c r="G11" s="2"/>
    </x:row>
    <x:row r="12" ht="32" customHeight="1">
      <x:c r="A12" s="50" t="str">
        <x:v>Scenario</x:v>
      </x:c>
      <x:c r="B12" s="51" t="str">
        <x:v>Peer Gap Closed</x:v>
      </x:c>
      <x:c r="C12" s="51" t="str">
        <x:v>DSO Improvement</x:v>
      </x:c>
      <x:c r="D12" s="51" t="str">
        <x:v>Resulting DSO</x:v>
      </x:c>
      <x:c r="E12" s="51" t="str">
        <x:v>Cash Release (¥bn)</x:v>
      </x:c>
      <x:c r="F12" s="51" t="str">
        <x:v>Financing Benefit — 100% Utilization (¥bn p.a.)</x:v>
      </x:c>
      <x:c r="G12" s="52" t="str">
        <x:v>Financing Benefit — 75% Utilization (¥bn p.a.)</x:v>
      </x:c>
    </x:row>
    <x:row r="13" ht="27" customHeight="1">
      <x:c r="A13" s="34" t="str">
        <x:v>Conservative</x:v>
      </x:c>
      <x:c r="B13" s="114" t="n">
        <x:v>0.25</x:v>
      </x:c>
      <x:c r="C13" s="56" t="n">
        <x:v>5.7180937519195165</x:v>
      </x:c>
      <x:c r="D13" s="56" t="n">
        <x:v>74.38747500163433</x:v>
      </x:c>
      <x:c r="E13" s="115" t="n">
        <x:v>76.37336671228174</x:v>
      </x:c>
      <x:c r="F13" s="115" t="n">
        <x:v>2.93445568610185</x:v>
      </x:c>
      <x:c r="G13" s="115" t="n">
        <x:f>F13*$E$8</x:f>
        <x:v>2.2008417645763876</x:v>
      </x:c>
    </x:row>
    <x:row r="14" ht="27" customHeight="1">
      <x:c r="A14" s="132" t="str">
        <x:v>Base</x:v>
      </x:c>
      <x:c r="B14" s="123" t="n">
        <x:v>0.5</x:v>
      </x:c>
      <x:c r="C14" s="124" t="n">
        <x:v>11.436187503839033</x:v>
      </x:c>
      <x:c r="D14" s="124" t="n">
        <x:v>68.6693812497148</x:v>
      </x:c>
      <x:c r="E14" s="125" t="n">
        <x:v>152.74673342456347</x:v>
      </x:c>
      <x:c r="F14" s="125" t="n">
        <x:v>5.8689113722037</x:v>
      </x:c>
      <x:c r="G14" s="125" t="n">
        <x:f>F14*$E$8</x:f>
        <x:v>4.401683529152775</x:v>
      </x:c>
    </x:row>
    <x:row r="15" ht="27" customHeight="1">
      <x:c r="A15" s="36" t="str">
        <x:v>Upside</x:v>
      </x:c>
      <x:c r="B15" s="116" t="n">
        <x:v>0.7499999999999999</x:v>
      </x:c>
      <x:c r="C15" s="57" t="n">
        <x:v>17.154281255758548</x:v>
      </x:c>
      <x:c r="D15" s="57" t="n">
        <x:v>62.95128749779529</x:v>
      </x:c>
      <x:c r="E15" s="117" t="n">
        <x:v>229.1201001368452</x:v>
      </x:c>
      <x:c r="F15" s="117" t="n">
        <x:v>8.80336705830555</x:v>
      </x:c>
      <x:c r="G15" s="117" t="n">
        <x:f>F15*$E$8</x:f>
        <x:v>6.602525293729163</x:v>
      </x:c>
    </x:row>
    <x:row r="16" ht="27" customHeight="1">
      <x:c r="A16" s="133" t="str">
        <x:v>Full Convergence — Reference Only</x:v>
      </x:c>
      <x:c r="B16" s="129" t="n">
        <x:v>1</x:v>
      </x:c>
      <x:c r="C16" s="130" t="n">
        <x:v>22.872375007678066</x:v>
      </x:c>
      <x:c r="D16" s="130" t="n">
        <x:v>57.233193745875774</x:v>
      </x:c>
      <x:c r="E16" s="131" t="n">
        <x:v>305.49346684912695</x:v>
      </x:c>
      <x:c r="F16" s="131" t="n">
        <x:v>11.7378227444074</x:v>
      </x:c>
      <x:c r="G16" s="131" t="n">
        <x:f>F16*$E$8</x:f>
        <x:v>8.80336705830555</x:v>
      </x:c>
    </x:row>
    <x:row r="17">
      <x:c r="A17" s="2"/>
      <x:c r="B17" s="2"/>
      <x:c r="C17" s="2"/>
      <x:c r="D17" s="2"/>
      <x:c r="E17" s="2"/>
      <x:c r="F17" s="2"/>
      <x:c r="G17" s="2"/>
    </x:row>
    <x:row r="18">
      <x:c r="A18" s="2"/>
      <x:c r="B18" s="2"/>
      <x:c r="C18" s="2"/>
      <x:c r="D18" s="2"/>
      <x:c r="E18" s="2"/>
      <x:c r="F18" s="2"/>
      <x:c r="G18" s="2"/>
    </x:row>
    <x:row r="19" ht="21" customHeight="1">
      <x:c r="A19" s="9" t="str">
        <x:v>Interpretation boundaries</x:v>
      </x:c>
      <x:c r="B19" s="10"/>
      <x:c r="C19" s="10"/>
      <x:c r="D19" s="10"/>
      <x:c r="E19" s="10"/>
      <x:c r="F19" s="10"/>
      <x:c r="G19" s="11"/>
    </x:row>
    <x:row r="20" ht="30" customHeight="1">
      <x:c r="A20" s="12" t="str">
        <x:v>Cash release</x:v>
      </x:c>
      <x:c r="B20" s="13" t="str">
        <x:v>A one-time balance-sheet release from receivables. It is not Revenue, profit or recurring annual free cash flow.</x:v>
      </x:c>
      <x:c r="C20" s="13"/>
      <x:c r="D20" s="13"/>
      <x:c r="E20" s="13"/>
      <x:c r="F20" s="13"/>
      <x:c r="G20" s="13"/>
    </x:row>
    <x:row r="21" ht="30" customHeight="1">
      <x:c r="A21" s="12" t="str">
        <x:v>Financing benefit</x:v>
      </x:c>
      <x:c r="B21" s="13" t="str">
        <x:v>Conditional annual pre-tax benefit only if released cash reduces or avoids financing. It is not guaranteed.</x:v>
      </x:c>
      <x:c r="C21" s="13"/>
      <x:c r="D21" s="13"/>
      <x:c r="E21" s="13"/>
      <x:c r="F21" s="13"/>
      <x:c r="G21" s="13"/>
    </x:row>
    <x:row r="22" ht="30" customHeight="1">
      <x:c r="A22" s="12" t="str">
        <x:v>Scenario role</x:v>
      </x:c>
      <x:c r="B22" s="13" t="str">
        <x:v>Base is the primary case. Full Convergence is retained solely as a theoretical reference.</x:v>
      </x:c>
      <x:c r="C22" s="13"/>
      <x:c r="D22" s="13"/>
      <x:c r="E22" s="13"/>
      <x:c r="F22" s="13"/>
      <x:c r="G22" s="13"/>
    </x:row>
    <x:row r="23" ht="30" customHeight="1">
      <x:c r="A23" s="12" t="str">
        <x:v>No aggregation</x:v>
      </x:c>
      <x:c r="B23" s="13" t="str">
        <x:v>Cash release and financing benefit are distinct economic measures and must not be added together.</x:v>
      </x:c>
      <x:c r="C23" s="13"/>
      <x:c r="D23" s="13"/>
      <x:c r="E23" s="13"/>
      <x:c r="F23" s="13"/>
      <x:c r="G23" s="13"/>
    </x:row>
    <x:row r="24">
      <x:c r="A24" s="2"/>
      <x:c r="B24" s="2"/>
      <x:c r="C24" s="2"/>
      <x:c r="D24" s="2"/>
      <x:c r="E24" s="2"/>
      <x:c r="F24" s="2"/>
      <x:c r="G24" s="2"/>
    </x:row>
  </x:sheetData>
  <x:mergeCells>
    <x:mergeCell ref="B20:G20"/>
    <x:mergeCell ref="B21:G21"/>
    <x:mergeCell ref="B22:G22"/>
    <x:mergeCell ref="B23:G2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B1F33"/>
  </x:sheetPr>
  <x:sheetViews>
    <x:sheetView showGridLines="0" workbookViewId="0"/>
  </x:sheetViews>
  <x:sheetFormatPr defaultRowHeight="15"/>
  <x:cols>
    <x:col min="1" max="1" width="3" hidden="0" customWidth="1"/>
    <x:col min="2" max="2" width="12" hidden="0" customWidth="1"/>
    <x:col min="3" max="3" width="12" hidden="0" customWidth="1"/>
    <x:col min="4" max="4" width="12" hidden="0" customWidth="1"/>
    <x:col min="5" max="5" width="6" hidden="0" customWidth="1"/>
    <x:col min="6" max="6" width="12" hidden="0" customWidth="1"/>
    <x:col min="7" max="7" width="12" hidden="0" customWidth="1"/>
    <x:col min="8" max="8" width="12" hidden="0" customWidth="1"/>
    <x:col min="9" max="9" width="6" hidden="0" customWidth="1"/>
    <x:col min="10" max="10" width="12" hidden="0" customWidth="1"/>
    <x:col min="11" max="11" width="12" hidden="0" customWidth="1"/>
    <x:col min="12" max="12" width="12" hidden="0" customWidth="1"/>
    <x:col min="13" max="13" width="6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4" t="str">
        <x:v>How NTT DATA's Operating Cycle Converts Work Into Cash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20" customHeight="1">
      <x:c r="A3" s="6" t="str">
        <x:v>Trade receivables represent the stage where the strongest peer-relative weakness was ultimately identified.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24" customHeight="1">
      <x:c r="A7" s="2"/>
      <x:c r="B7" s="153" t="str">
        <x:v>Work Performed</x:v>
      </x:c>
      <x:c r="C7" s="154"/>
      <x:c r="D7" s="155"/>
      <x:c r="E7" s="2"/>
      <x:c r="F7" s="181" t="str">
        <x:v>Contract Asset
Work completed before an unconditional right to payment</x:v>
      </x:c>
      <x:c r="G7" s="182"/>
      <x:c r="H7" s="183"/>
      <x:c r="I7" s="2"/>
      <x:c r="J7" s="209" t="str">
        <x:v>Trade Receivable
Unconditional right to payment; collection timing drives DSO</x:v>
      </x:c>
      <x:c r="K7" s="210"/>
      <x:c r="L7" s="211"/>
      <x:c r="M7" s="2"/>
      <x:c r="N7" s="237" t="str">
        <x:v>Cash
Operating-cycle conversion completed</x:v>
      </x:c>
      <x:c r="O7" s="238"/>
      <x:c r="P7" s="239"/>
    </x:row>
    <x:row r="8" ht="24" customHeight="1">
      <x:c r="A8" s="2"/>
      <x:c r="B8" s="156"/>
      <x:c r="C8" s="157"/>
      <x:c r="D8" s="158"/>
      <x:c r="E8" s="247" t="str">
        <x:v>→</x:v>
      </x:c>
      <x:c r="F8" s="184"/>
      <x:c r="G8" s="185"/>
      <x:c r="H8" s="186"/>
      <x:c r="I8" s="247" t="str">
        <x:v>→</x:v>
      </x:c>
      <x:c r="J8" s="212"/>
      <x:c r="K8" s="213"/>
      <x:c r="L8" s="214"/>
      <x:c r="M8" s="247" t="str">
        <x:v>→</x:v>
      </x:c>
      <x:c r="N8" s="240"/>
      <x:c r="O8" s="241"/>
      <x:c r="P8" s="242"/>
    </x:row>
    <x:row r="9" ht="24" customHeight="1">
      <x:c r="A9" s="2"/>
      <x:c r="B9" s="156"/>
      <x:c r="C9" s="157"/>
      <x:c r="D9" s="158"/>
      <x:c r="E9" s="2"/>
      <x:c r="F9" s="184"/>
      <x:c r="G9" s="185"/>
      <x:c r="H9" s="186"/>
      <x:c r="I9" s="2"/>
      <x:c r="J9" s="212"/>
      <x:c r="K9" s="213"/>
      <x:c r="L9" s="214"/>
      <x:c r="M9" s="2"/>
      <x:c r="N9" s="240"/>
      <x:c r="O9" s="241"/>
      <x:c r="P9" s="242"/>
    </x:row>
    <x:row r="10" ht="24" customHeight="1">
      <x:c r="A10" s="2"/>
      <x:c r="B10" s="159"/>
      <x:c r="C10" s="160"/>
      <x:c r="D10" s="161"/>
      <x:c r="E10" s="2"/>
      <x:c r="F10" s="187"/>
      <x:c r="G10" s="188"/>
      <x:c r="H10" s="189"/>
      <x:c r="I10" s="2"/>
      <x:c r="J10" s="215"/>
      <x:c r="K10" s="216"/>
      <x:c r="L10" s="217"/>
      <x:c r="M10" s="2"/>
      <x:c r="N10" s="243"/>
      <x:c r="O10" s="244"/>
      <x:c r="P10" s="245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1" customHeight="1">
      <x:c r="A12" s="9" t="str">
        <x:v>Funding offsets and other operating capital</x:v>
      </x:c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1"/>
    </x:row>
    <x:row r="13" ht="22" customHeight="1">
      <x:c r="A13" s="2"/>
      <x:c r="B13" s="267" t="str">
        <x:v>Inventory
A smaller tied-up operating-capital component</x:v>
      </x:c>
      <x:c r="C13" s="268"/>
      <x:c r="D13" s="269"/>
      <x:c r="E13" s="2"/>
      <x:c r="F13" s="294" t="str">
        <x:v>Trade Payables
Supplier credit partly finances the operating cycle</x:v>
      </x:c>
      <x:c r="G13" s="295"/>
      <x:c r="H13" s="296"/>
      <x:c r="I13" s="2"/>
      <x:c r="J13" s="294" t="str">
        <x:v>Contract Liabilities
Customer advances partly finance the operating cycle</x:v>
      </x:c>
      <x:c r="K13" s="295"/>
      <x:c r="L13" s="296"/>
      <x:c r="M13" s="2"/>
      <x:c r="N13" s="322" t="str">
        <x:v>Net operating funding need
Tied-up assets less supplier credit and customer advances</x:v>
      </x:c>
      <x:c r="O13" s="323"/>
      <x:c r="P13" s="324"/>
    </x:row>
    <x:row r="14" ht="22" customHeight="1">
      <x:c r="A14" s="2"/>
      <x:c r="B14" s="270"/>
      <x:c r="C14" s="271"/>
      <x:c r="D14" s="272"/>
      <x:c r="E14" s="2"/>
      <x:c r="F14" s="297"/>
      <x:c r="G14" s="298"/>
      <x:c r="H14" s="299"/>
      <x:c r="I14" s="2"/>
      <x:c r="J14" s="297"/>
      <x:c r="K14" s="298"/>
      <x:c r="L14" s="299"/>
      <x:c r="M14" s="2"/>
      <x:c r="N14" s="325"/>
      <x:c r="O14" s="326"/>
      <x:c r="P14" s="327"/>
    </x:row>
    <x:row r="15" ht="22" customHeight="1">
      <x:c r="A15" s="2"/>
      <x:c r="B15" s="270"/>
      <x:c r="C15" s="271"/>
      <x:c r="D15" s="272"/>
      <x:c r="E15" s="2"/>
      <x:c r="F15" s="297"/>
      <x:c r="G15" s="298"/>
      <x:c r="H15" s="299"/>
      <x:c r="I15" s="2"/>
      <x:c r="J15" s="297"/>
      <x:c r="K15" s="298"/>
      <x:c r="L15" s="299"/>
      <x:c r="M15" s="2"/>
      <x:c r="N15" s="325"/>
      <x:c r="O15" s="326"/>
      <x:c r="P15" s="327"/>
    </x:row>
    <x:row r="16" ht="22" customHeight="1">
      <x:c r="A16" s="2"/>
      <x:c r="B16" s="273"/>
      <x:c r="C16" s="274"/>
      <x:c r="D16" s="275"/>
      <x:c r="E16" s="2"/>
      <x:c r="F16" s="300"/>
      <x:c r="G16" s="301"/>
      <x:c r="H16" s="302"/>
      <x:c r="I16" s="2"/>
      <x:c r="J16" s="300"/>
      <x:c r="K16" s="301"/>
      <x:c r="L16" s="302"/>
      <x:c r="M16" s="2"/>
      <x:c r="N16" s="328"/>
      <x:c r="O16" s="329"/>
      <x:c r="P16" s="330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0" customHeight="1">
      <x:c r="A19" s="348" t="str">
        <x:v>Finding</x:v>
      </x:c>
      <x:c r="B19" s="349"/>
      <x:c r="C19" s="352" t="str">
        <x:v>Capital is tied up in Contract Assets, Trade Receivables and Inventory. Trade receivables are the largest peer-relative concern identified in the approved analysis.</x:v>
      </x:c>
      <x:c r="D19" s="352"/>
      <x:c r="E19" s="352"/>
      <x:c r="F19" s="352"/>
      <x:c r="G19" s="352"/>
      <x:c r="H19" s="352"/>
      <x:c r="I19" s="352"/>
      <x:c r="J19" s="352"/>
      <x:c r="K19" s="352"/>
      <x:c r="L19" s="352"/>
      <x:c r="M19" s="352"/>
      <x:c r="N19" s="352"/>
      <x:c r="O19" s="352"/>
      <x:c r="P19" s="353"/>
    </x:row>
    <x:row r="20" ht="20" customHeight="1">
      <x:c r="A20" s="350"/>
      <x:c r="B20" s="351"/>
      <x:c r="C20" s="354"/>
      <x:c r="D20" s="354"/>
      <x:c r="E20" s="354"/>
      <x:c r="F20" s="354"/>
      <x:c r="G20" s="354"/>
      <x:c r="H20" s="354"/>
      <x:c r="I20" s="354"/>
      <x:c r="J20" s="354"/>
      <x:c r="K20" s="354"/>
      <x:c r="L20" s="354"/>
      <x:c r="M20" s="354"/>
      <x:c r="N20" s="354"/>
      <x:c r="O20" s="354"/>
      <x:c r="P20" s="355"/>
    </x:row>
    <x:row r="21" ht="20" customHeight="1">
      <x:c r="A21" s="350" t="str">
        <x:v>Meaning</x:v>
      </x:c>
      <x:c r="B21" s="351"/>
      <x:c r="C21" s="354" t="str">
        <x:v>Trade Payables and Contract Liabilities partly offset the funding requirement through supplier credit and customer advances.</x:v>
      </x:c>
      <x:c r="D21" s="354"/>
      <x:c r="E21" s="354"/>
      <x:c r="F21" s="354"/>
      <x:c r="G21" s="354"/>
      <x:c r="H21" s="354"/>
      <x:c r="I21" s="354"/>
      <x:c r="J21" s="354"/>
      <x:c r="K21" s="354"/>
      <x:c r="L21" s="354"/>
      <x:c r="M21" s="354"/>
      <x:c r="N21" s="354"/>
      <x:c r="O21" s="354"/>
      <x:c r="P21" s="355"/>
    </x:row>
    <x:row r="22" ht="20" customHeight="1">
      <x:c r="A22" s="350"/>
      <x:c r="B22" s="351"/>
      <x:c r="C22" s="354"/>
      <x:c r="D22" s="354"/>
      <x:c r="E22" s="354"/>
      <x:c r="F22" s="354"/>
      <x:c r="G22" s="354"/>
      <x:c r="H22" s="354"/>
      <x:c r="I22" s="354"/>
      <x:c r="J22" s="354"/>
      <x:c r="K22" s="354"/>
      <x:c r="L22" s="354"/>
      <x:c r="M22" s="354"/>
      <x:c r="N22" s="354"/>
      <x:c r="O22" s="354"/>
      <x:c r="P22" s="355"/>
    </x:row>
    <x:row r="23" ht="20" customHeight="1">
      <x:c r="A23" s="350" t="str">
        <x:v>Limitation</x:v>
      </x:c>
      <x:c r="B23" s="351"/>
      <x:c r="C23" s="354" t="str">
        <x:v>This flow explains where cash can be delayed. It does not by itself establish the operational cause of NTT DATA's higher DSO.</x:v>
      </x:c>
      <x:c r="D23" s="354"/>
      <x:c r="E23" s="354"/>
      <x:c r="F23" s="354"/>
      <x:c r="G23" s="354"/>
      <x:c r="H23" s="354"/>
      <x:c r="I23" s="354"/>
      <x:c r="J23" s="354"/>
      <x:c r="K23" s="354"/>
      <x:c r="L23" s="354"/>
      <x:c r="M23" s="354"/>
      <x:c r="N23" s="354"/>
      <x:c r="O23" s="354"/>
      <x:c r="P23" s="355"/>
    </x:row>
    <x:row r="24" ht="20" customHeight="1">
      <x:c r="A24" s="350"/>
      <x:c r="B24" s="351"/>
      <x:c r="C24" s="360"/>
      <x:c r="D24" s="360"/>
      <x:c r="E24" s="360"/>
      <x:c r="F24" s="360"/>
      <x:c r="G24" s="360"/>
      <x:c r="H24" s="360"/>
      <x:c r="I24" s="360"/>
      <x:c r="J24" s="360"/>
      <x:c r="K24" s="360"/>
      <x:c r="L24" s="360"/>
      <x:c r="M24" s="360"/>
      <x:c r="N24" s="360"/>
      <x:c r="O24" s="360"/>
      <x:c r="P24" s="361"/>
    </x:row>
  </x:sheetData>
  <x:mergeCells>
    <x:mergeCell ref="B7:D10"/>
    <x:mergeCell ref="F7:H10"/>
    <x:mergeCell ref="J7:L10"/>
    <x:mergeCell ref="N7:P10"/>
    <x:mergeCell ref="B13:D16"/>
    <x:mergeCell ref="F13:H16"/>
    <x:mergeCell ref="J13:L16"/>
    <x:mergeCell ref="N13:P16"/>
    <x:mergeCell ref="A19:B20"/>
    <x:mergeCell ref="C19:P20"/>
    <x:mergeCell ref="A21:B22"/>
    <x:mergeCell ref="C21:P22"/>
    <x:mergeCell ref="A23:B24"/>
    <x:mergeCell ref="C23:P2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B1F33"/>
  </x:sheetPr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9" hidden="0" customWidth="1"/>
    <x:col min="4" max="4" width="36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NTT DATA's DSO Increased After a Historically Stable FY2019–FY2021 Period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0" customHeight="1">
      <x:c r="A3" s="6" t="str">
        <x:v>Approved annual observations; day values use average opening and closing trade receivables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369" t="str">
        <x:v>FY2022 — Structural Break: NTT Ltd. was consolidated during the year. The observation remains visible but requires caution.</x:v>
      </x:c>
      <x:c r="B4" s="370"/>
      <x:c r="C4" s="370"/>
      <x:c r="D4" s="370"/>
      <x:c r="E4" s="370"/>
      <x:c r="F4" s="370"/>
      <x:c r="G4" s="370"/>
      <x:c r="H4" s="370"/>
      <x:c r="I4" s="370"/>
      <x:c r="J4" s="370"/>
      <x:c r="K4" s="370"/>
      <x:c r="L4" s="370"/>
      <x:c r="M4" s="370"/>
      <x:c r="N4" s="371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0" customHeight="1">
      <x:c r="A24" s="348" t="str">
        <x:v>Finding</x:v>
      </x:c>
      <x:c r="B24" s="349"/>
      <x:c r="C24" s="352" t="str">
        <x:v>DSO remained near 79–80 days during FY2019–FY2021 before rising to 87.3 days in FY2022 and 98.2 days in FY2023.</x:v>
      </x:c>
      <x:c r="D24" s="352"/>
      <x:c r="E24" s="352"/>
      <x:c r="F24" s="352"/>
      <x:c r="G24" s="352"/>
      <x:c r="H24" s="352"/>
      <x:c r="I24" s="352"/>
      <x:c r="J24" s="352"/>
      <x:c r="K24" s="352"/>
      <x:c r="L24" s="352"/>
      <x:c r="M24" s="352"/>
      <x:c r="N24" s="353"/>
    </x:row>
    <x:row r="25" ht="20" customHeight="1">
      <x:c r="A25" s="350"/>
      <x:c r="B25" s="351"/>
      <x:c r="C25" s="354"/>
      <x:c r="D25" s="354"/>
      <x:c r="E25" s="354"/>
      <x:c r="F25" s="354"/>
      <x:c r="G25" s="354"/>
      <x:c r="H25" s="354"/>
      <x:c r="I25" s="354"/>
      <x:c r="J25" s="354"/>
      <x:c r="K25" s="354"/>
      <x:c r="L25" s="354"/>
      <x:c r="M25" s="354"/>
      <x:c r="N25" s="355"/>
    </x:row>
    <x:row r="26" ht="20" customHeight="1">
      <x:c r="A26" s="350" t="str">
        <x:v>Meaning</x:v>
      </x:c>
      <x:c r="B26" s="351"/>
      <x:c r="C26" s="354" t="str">
        <x:v>The increase makes receivables a priority for peer benchmarking and scenario analysis.</x:v>
      </x:c>
      <x:c r="D26" s="354"/>
      <x:c r="E26" s="354"/>
      <x:c r="F26" s="354"/>
      <x:c r="G26" s="354"/>
      <x:c r="H26" s="354"/>
      <x:c r="I26" s="354"/>
      <x:c r="J26" s="354"/>
      <x:c r="K26" s="354"/>
      <x:c r="L26" s="354"/>
      <x:c r="M26" s="354"/>
      <x:c r="N26" s="355"/>
    </x:row>
    <x:row r="27" ht="20" customHeight="1">
      <x:c r="A27" s="350"/>
      <x:c r="B27" s="351"/>
      <x:c r="C27" s="354"/>
      <x:c r="D27" s="354"/>
      <x:c r="E27" s="354"/>
      <x:c r="F27" s="354"/>
      <x:c r="G27" s="354"/>
      <x:c r="H27" s="354"/>
      <x:c r="I27" s="354"/>
      <x:c r="J27" s="354"/>
      <x:c r="K27" s="354"/>
      <x:c r="L27" s="354"/>
      <x:c r="M27" s="354"/>
      <x:c r="N27" s="355"/>
    </x:row>
    <x:row r="28" ht="20" customHeight="1">
      <x:c r="A28" s="350" t="str">
        <x:v>Limitation</x:v>
      </x:c>
      <x:c r="B28" s="351"/>
      <x:c r="C28" s="354" t="str">
        <x:v>The chart does not prove weaker collections. FY2022 should be interpreted cautiously because NTT Ltd. was consolidated during the year.</x:v>
      </x:c>
      <x:c r="D28" s="354"/>
      <x:c r="E28" s="354"/>
      <x:c r="F28" s="354"/>
      <x:c r="G28" s="354"/>
      <x:c r="H28" s="354"/>
      <x:c r="I28" s="354"/>
      <x:c r="J28" s="354"/>
      <x:c r="K28" s="354"/>
      <x:c r="L28" s="354"/>
      <x:c r="M28" s="354"/>
      <x:c r="N28" s="355"/>
    </x:row>
    <x:row r="29" ht="20" customHeight="1">
      <x:c r="A29" s="350"/>
      <x:c r="B29" s="351"/>
      <x:c r="C29" s="360"/>
      <x:c r="D29" s="360"/>
      <x:c r="E29" s="360"/>
      <x:c r="F29" s="360"/>
      <x:c r="G29" s="360"/>
      <x:c r="H29" s="360"/>
      <x:c r="I29" s="360"/>
      <x:c r="J29" s="360"/>
      <x:c r="K29" s="360"/>
      <x:c r="L29" s="360"/>
      <x:c r="M29" s="360"/>
      <x:c r="N29" s="361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32" customHeight="1">
      <x:c r="A32" s="50" t="str">
        <x:v>Fiscal Year</x:v>
      </x:c>
      <x:c r="B32" s="51" t="str">
        <x:v>DSO</x:v>
      </x:c>
      <x:c r="C32" s="51" t="str">
        <x:v>Structural Break</x:v>
      </x:c>
      <x:c r="D32" s="52" t="str">
        <x:v>Structural Note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4" customHeight="1">
      <x:c r="A33" s="53" t="str">
        <x:f>'NTT Historical Data'!A7</x:f>
        <x:v>FY2019</x:v>
      </x:c>
      <x:c r="B33" s="54" t="n">
        <x:f>'NTT Historical Data'!B7</x:f>
        <x:v>79.89716817657252</x:v>
      </x:c>
      <x:c r="C33" s="54"/>
      <x:c r="D33" s="34" t="str">
        <x:f>'NTT Historical Data'!G7</x:f>
        <x:v>Clean period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4" customHeight="1">
      <x:c r="A34" s="37" t="str">
        <x:f>'NTT Historical Data'!A8</x:f>
        <x:v>FY2020</x:v>
      </x:c>
      <x:c r="B34" s="55" t="n">
        <x:f>'NTT Historical Data'!B8</x:f>
        <x:v>80.31396933053516</x:v>
      </x:c>
      <x:c r="C34" s="55"/>
      <x:c r="D34" s="36" t="str">
        <x:f>'NTT Historical Data'!G8</x:f>
        <x:v>Clean period</x:v>
      </x:c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4" customHeight="1">
      <x:c r="A35" s="37" t="str">
        <x:f>'NTT Historical Data'!A9</x:f>
        <x:v>FY2021</x:v>
      </x:c>
      <x:c r="B35" s="55" t="n">
        <x:f>'NTT Historical Data'!B9</x:f>
        <x:v>78.57336339974906</x:v>
      </x:c>
      <x:c r="C35" s="55"/>
      <x:c r="D35" s="36" t="str">
        <x:f>'NTT Historical Data'!G9</x:f>
        <x:v>Clean period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4" customHeight="1">
      <x:c r="A36" s="60" t="str">
        <x:f>'NTT Historical Data'!A10</x:f>
        <x:v>FY2022</x:v>
      </x:c>
      <x:c r="B36" s="372" t="n">
        <x:f>'NTT Historical Data'!B10</x:f>
        <x:v>87.33816746519236</x:v>
      </x:c>
      <x:c r="C36" s="372" t="n">
        <x:f>B36</x:f>
        <x:v>87.33816746519236</x:v>
      </x:c>
      <x:c r="D36" s="63" t="str">
        <x:f>'NTT Historical Data'!G10</x:f>
        <x:v>FY2022 — Structural Break: NTT Ltd. consolidated during the year</x:v>
      </x:c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4" customHeight="1">
      <x:c r="A37" s="37" t="str">
        <x:f>'NTT Historical Data'!A11</x:f>
        <x:v>FY2023</x:v>
      </x:c>
      <x:c r="B37" s="55" t="n">
        <x:f>'NTT Historical Data'!B11</x:f>
        <x:v>98.23931449170867</x:v>
      </x:c>
      <x:c r="C37" s="55"/>
      <x:c r="D37" s="36" t="str">
        <x:f>'NTT Historical Data'!G11</x:f>
        <x:v>Clean period; first full post-consolidation year</x:v>
      </x:c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</x:sheetData>
  <x:mergeCells>
    <x:mergeCell ref="A4:N4"/>
    <x:mergeCell ref="A24:B25"/>
    <x:mergeCell ref="C24:N25"/>
    <x:mergeCell ref="A26:B27"/>
    <x:mergeCell ref="C26:N27"/>
    <x:mergeCell ref="A28:B29"/>
    <x:mergeCell ref="C28:N29"/>
  </x:mergeCells>
  <x:pageMargins left="0.7" right="0.7" top="0.75" bottom="0.75" header="0.3" footer="0.3"/>
  <x:drawing xmlns:r="http://schemas.openxmlformats.org/officeDocument/2006/relationships" r:id="Rcbbd201159004b2a"/>
</x:worksheet>
</file>

<file path=xl/worksheets/sheet7.xml><?xml version="1.0" encoding="utf-8"?>
<x:worksheet xmlns:x="http://schemas.openxmlformats.org/spreadsheetml/2006/main">
  <x:sheetPr>
    <x:tabColor rgb="FF0B1F33"/>
  </x:sheetPr>
  <x:sheetViews>
    <x:sheetView showGridLines="0" workbookViewId="0"/>
  </x:sheetViews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15" hidden="0" customWidth="1"/>
    <x:col min="5" max="5" width="4" hidden="0" customWidth="1"/>
    <x:col min="6" max="6" width="15" hidden="0" customWidth="1"/>
    <x:col min="7" max="7" width="15" hidden="0" customWidth="1"/>
    <x:col min="8" max="8" width="15" hidden="0" customWidth="1"/>
    <x:col min="9" max="9" width="4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NTT DATA's DSO Is Approximately 22.9 Days Above the Comparable-Peer Median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0" customHeight="1">
      <x:c r="A3" s="6" t="str">
        <x:v>Clean-period company medians; one vote per valid external company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380" t="str">
        <x:v>NTT DATA clean-period DSO</x:v>
      </x:c>
      <x:c r="B5" s="381"/>
      <x:c r="C5" s="381"/>
      <x:c r="D5" s="382"/>
      <x:c r="E5" s="2"/>
      <x:c r="F5" s="403" t="str">
        <x:v>Comparable-peer median</x:v>
      </x:c>
      <x:c r="G5" s="404"/>
      <x:c r="H5" s="404"/>
      <x:c r="I5" s="405"/>
      <x:c r="J5" s="2"/>
      <x:c r="K5" s="426" t="str">
        <x:v>NTT DATA gap</x:v>
      </x:c>
      <x:c r="L5" s="427"/>
      <x:c r="M5" s="427"/>
      <x:c r="N5" s="428"/>
    </x:row>
    <x:row r="6">
      <x:c r="A6" s="395" t="n">
        <x:f>'Peer Benchmark Data'!B7</x:f>
        <x:v>80.10556875355384</x:v>
      </x:c>
      <x:c r="B6" s="390"/>
      <x:c r="C6" s="390"/>
      <x:c r="D6" s="391"/>
      <x:c r="E6" s="2"/>
      <x:c r="F6" s="418" t="n">
        <x:f>'Peer Benchmark Data'!B12</x:f>
        <x:v>57.233193745875774</x:v>
      </x:c>
      <x:c r="G6" s="413"/>
      <x:c r="H6" s="413"/>
      <x:c r="I6" s="414"/>
      <x:c r="J6" s="2"/>
      <x:c r="K6" s="441" t="n">
        <x:f>'Peer Benchmark Data'!D17</x:f>
        <x:v>22.872375007678066</x:v>
      </x:c>
      <x:c r="L6" s="436"/>
      <x:c r="M6" s="436"/>
      <x:c r="N6" s="437"/>
    </x:row>
    <x:row r="7">
      <x:c r="A7" s="392"/>
      <x:c r="B7" s="393"/>
      <x:c r="C7" s="393"/>
      <x:c r="D7" s="394"/>
      <x:c r="E7" s="2"/>
      <x:c r="F7" s="415"/>
      <x:c r="G7" s="416"/>
      <x:c r="H7" s="416"/>
      <x:c r="I7" s="417"/>
      <x:c r="J7" s="2"/>
      <x:c r="K7" s="438"/>
      <x:c r="L7" s="439"/>
      <x:c r="M7" s="439"/>
      <x:c r="N7" s="440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0" customHeight="1">
      <x:c r="A27" s="348" t="str">
        <x:v>Finding</x:v>
      </x:c>
      <x:c r="B27" s="349"/>
      <x:c r="C27" s="352" t="str">
        <x:v>NTT DATA's 80.1-day clean-period DSO materially exceeds the 57.2-day comparable-peer median. Receivables are therefore the clearest peer-relative working-capital weakness.</x:v>
      </x:c>
      <x:c r="D27" s="352"/>
      <x:c r="E27" s="352"/>
      <x:c r="F27" s="352"/>
      <x:c r="G27" s="352"/>
      <x:c r="H27" s="352"/>
      <x:c r="I27" s="352"/>
      <x:c r="J27" s="352"/>
      <x:c r="K27" s="352"/>
      <x:c r="L27" s="352"/>
      <x:c r="M27" s="352"/>
      <x:c r="N27" s="353"/>
    </x:row>
    <x:row r="28" ht="20" customHeight="1">
      <x:c r="A28" s="350"/>
      <x:c r="B28" s="351"/>
      <x:c r="C28" s="354"/>
      <x:c r="D28" s="354"/>
      <x:c r="E28" s="354"/>
      <x:c r="F28" s="354"/>
      <x:c r="G28" s="354"/>
      <x:c r="H28" s="354"/>
      <x:c r="I28" s="354"/>
      <x:c r="J28" s="354"/>
      <x:c r="K28" s="354"/>
      <x:c r="L28" s="354"/>
      <x:c r="M28" s="354"/>
      <x:c r="N28" s="355"/>
    </x:row>
    <x:row r="29" ht="20" customHeight="1">
      <x:c r="A29" s="350" t="str">
        <x:v>Meaning</x:v>
      </x:c>
      <x:c r="B29" s="351"/>
      <x:c r="C29" s="354" t="str">
        <x:v>The 22.9-day gap creates a transparent basis for partial-convergence scenarios and cash-release sizing.</x:v>
      </x:c>
      <x:c r="D29" s="354"/>
      <x:c r="E29" s="354"/>
      <x:c r="F29" s="354"/>
      <x:c r="G29" s="354"/>
      <x:c r="H29" s="354"/>
      <x:c r="I29" s="354"/>
      <x:c r="J29" s="354"/>
      <x:c r="K29" s="354"/>
      <x:c r="L29" s="354"/>
      <x:c r="M29" s="354"/>
      <x:c r="N29" s="355"/>
    </x:row>
    <x:row r="30" ht="20" customHeight="1">
      <x:c r="A30" s="350"/>
      <x:c r="B30" s="351"/>
      <x:c r="C30" s="354"/>
      <x:c r="D30" s="354"/>
      <x:c r="E30" s="354"/>
      <x:c r="F30" s="354"/>
      <x:c r="G30" s="354"/>
      <x:c r="H30" s="354"/>
      <x:c r="I30" s="354"/>
      <x:c r="J30" s="354"/>
      <x:c r="K30" s="354"/>
      <x:c r="L30" s="354"/>
      <x:c r="M30" s="354"/>
      <x:c r="N30" s="355"/>
    </x:row>
    <x:row r="31" ht="20" customHeight="1">
      <x:c r="A31" s="350" t="str">
        <x:v>Limitation</x:v>
      </x:c>
      <x:c r="B31" s="351"/>
      <x:c r="C31" s="354" t="str">
        <x:v>The full gap should not be treated as removable. Customer, geographic, payment-term and contractual structures differ across companies.</x:v>
      </x:c>
      <x:c r="D31" s="354"/>
      <x:c r="E31" s="354"/>
      <x:c r="F31" s="354"/>
      <x:c r="G31" s="354"/>
      <x:c r="H31" s="354"/>
      <x:c r="I31" s="354"/>
      <x:c r="J31" s="354"/>
      <x:c r="K31" s="354"/>
      <x:c r="L31" s="354"/>
      <x:c r="M31" s="354"/>
      <x:c r="N31" s="355"/>
    </x:row>
    <x:row r="32" ht="20" customHeight="1">
      <x:c r="A32" s="350"/>
      <x:c r="B32" s="351"/>
      <x:c r="C32" s="360"/>
      <x:c r="D32" s="360"/>
      <x:c r="E32" s="360"/>
      <x:c r="F32" s="360"/>
      <x:c r="G32" s="360"/>
      <x:c r="H32" s="360"/>
      <x:c r="I32" s="360"/>
      <x:c r="J32" s="360"/>
      <x:c r="K32" s="360"/>
      <x:c r="L32" s="360"/>
      <x:c r="M32" s="360"/>
      <x:c r="N32" s="361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32" customHeight="1">
      <x:c r="A37" s="50" t="str">
        <x:v>Company</x:v>
      </x:c>
      <x:c r="B37" s="51" t="str">
        <x:v>NTT DATA</x:v>
      </x:c>
      <x:c r="C37" s="51" t="str">
        <x:v>Peers</x:v>
      </x:c>
      <x:c r="D37" s="52" t="str">
        <x:v>Peer Median</x:v>
      </x:c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68" t="str">
        <x:v>NTT DATA</x:v>
      </x:c>
      <x:c r="B38" s="442" t="n">
        <x:f>'Peer Benchmark Data'!B7</x:f>
        <x:v>80.10556875355384</x:v>
      </x:c>
      <x:c r="C38" s="442"/>
      <x:c r="D38" s="44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37" t="str">
        <x:v>Accenture</x:v>
      </x:c>
      <x:c r="B39" s="55"/>
      <x:c r="C39" s="55" t="n">
        <x:f>'Peer Benchmark Data'!B8</x:f>
        <x:v>60.27637572491592</x:v>
      </x:c>
      <x:c r="D39" s="55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37" t="str">
        <x:v>Capgemini</x:v>
      </x:c>
      <x:c r="B40" s="55"/>
      <x:c r="C40" s="55" t="n">
        <x:f>'Peer Benchmark Data'!B9</x:f>
        <x:v>54.190011766835624</x:v>
      </x:c>
      <x:c r="D40" s="55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37" t="str">
        <x:v>CGI</x:v>
      </x:c>
      <x:c r="B41" s="55"/>
      <x:c r="C41" s="55" t="n">
        <x:f>'Peer Benchmark Data'!B10</x:f>
        <x:v>28.235128663153667</x:v>
      </x:c>
      <x:c r="D41" s="55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37" t="str">
        <x:v>TCS</x:v>
      </x:c>
      <x:c r="B42" s="55"/>
      <x:c r="C42" s="55" t="n">
        <x:f>'Peer Benchmark Data'!B11</x:f>
        <x:v>78.80683539994935</x:v>
      </x:c>
      <x:c r="D42" s="55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72" t="str">
        <x:v>Peer Median</x:v>
      </x:c>
      <x:c r="B43" s="443"/>
      <x:c r="C43" s="443"/>
      <x:c r="D43" s="443" t="n">
        <x:f>'Peer Benchmark Data'!B12</x:f>
        <x:v>57.233193745875774</x:v>
      </x:c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</x:sheetData>
  <x:mergeCells>
    <x:mergeCell ref="A5:D5"/>
    <x:mergeCell ref="A6:D7"/>
    <x:mergeCell ref="F5:I5"/>
    <x:mergeCell ref="F6:I7"/>
    <x:mergeCell ref="K5:N5"/>
    <x:mergeCell ref="K6:N7"/>
    <x:mergeCell ref="A27:B28"/>
    <x:mergeCell ref="C27:N28"/>
    <x:mergeCell ref="A29:B30"/>
    <x:mergeCell ref="C29:N30"/>
    <x:mergeCell ref="A31:B32"/>
    <x:mergeCell ref="C31:N32"/>
  </x:mergeCells>
  <x:pageMargins left="0.7" right="0.7" top="0.75" bottom="0.75" header="0.3" footer="0.3"/>
  <x:drawing xmlns:r="http://schemas.openxmlformats.org/officeDocument/2006/relationships" r:id="R8cebea86065a44ee"/>
</x:worksheet>
</file>

<file path=xl/worksheets/sheet8.xml><?xml version="1.0" encoding="utf-8"?>
<x:worksheet xmlns:x="http://schemas.openxmlformats.org/spreadsheetml/2006/main">
  <x:sheetPr>
    <x:tabColor rgb="FF0B1F33"/>
  </x:sheetPr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8" hidden="0" customWidth="1"/>
    <x:col min="5" max="5" width="25" hidden="0" customWidth="1"/>
    <x:col min="6" max="6" width="58" hidden="0" customWidth="1"/>
    <x:col min="7" max="7" width="4" hidden="0" customWidth="1"/>
    <x:col min="8" max="8" width="4" hidden="0" customWidth="1"/>
    <x:col min="9" max="9" width="4" hidden="0" customWidth="1"/>
    <x:col min="10" max="10" width="4" hidden="0" customWidth="1"/>
    <x:col min="11" max="11" width="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4" t="str">
        <x:v>The Working-Capital Weakness Is Concentrated in Receivables Rather Than Broad-Based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0" customHeight="1">
      <x:c r="A3" s="6" t="str">
        <x:v>Metric-specific approved benchmarks preserve comparability and directionality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2" customHeight="1">
      <x:c r="A6" s="50" t="str">
        <x:v>Metric</x:v>
      </x:c>
      <x:c r="B6" s="51" t="str">
        <x:v>NTT DATA</x:v>
      </x:c>
      <x:c r="C6" s="51" t="str">
        <x:v>Benchmark</x:v>
      </x:c>
      <x:c r="D6" s="51" t="str">
        <x:v>Gap</x:v>
      </x:c>
      <x:c r="E6" s="51" t="str">
        <x:v>Assessment</x:v>
      </x:c>
      <x:c r="F6" s="52" t="str">
        <x:v>Interpretation</x:v>
      </x:c>
      <x:c r="G6" s="2"/>
      <x:c r="H6" s="2"/>
      <x:c r="I6" s="2"/>
      <x:c r="J6" s="2"/>
      <x:c r="K6" s="2"/>
    </x:row>
    <x:row r="7" ht="34" customHeight="1">
      <x:c r="A7" s="91" t="str">
        <x:v>DSO</x:v>
      </x:c>
      <x:c r="B7" s="92" t="n">
        <x:f>'Peer Benchmark Data'!B17</x:f>
        <x:v>80.10556875355384</x:v>
      </x:c>
      <x:c r="C7" s="92" t="n">
        <x:f>'Peer Benchmark Data'!C17</x:f>
        <x:v>57.233193745875774</x:v>
      </x:c>
      <x:c r="D7" s="93" t="n">
        <x:f>'Peer Benchmark Data'!D17</x:f>
        <x:v>22.872375007678066</x:v>
      </x:c>
      <x:c r="E7" s="94" t="str">
        <x:v>Relative weakness</x:v>
      </x:c>
      <x:c r="F7" s="101" t="str">
        <x:v>Higher DSO indicates more capital tied up in trade receivables relative to peers.</x:v>
      </x:c>
      <x:c r="G7" s="2"/>
      <x:c r="H7" s="2"/>
      <x:c r="I7" s="2"/>
      <x:c r="J7" s="2"/>
      <x:c r="K7" s="2"/>
    </x:row>
    <x:row r="8" ht="34" customHeight="1">
      <x:c r="A8" s="95" t="str">
        <x:v>Contract Asset Days</x:v>
      </x:c>
      <x:c r="B8" s="96" t="n">
        <x:f>'Peer Benchmark Data'!B18</x:f>
        <x:v>13.753285892482076</x:v>
      </x:c>
      <x:c r="C8" s="96" t="n">
        <x:f>'Peer Benchmark Data'!C18</x:f>
        <x:v>17.90894553060912</x:v>
      </x:c>
      <x:c r="D8" s="97" t="n">
        <x:f>'Peer Benchmark Data'!D18</x:f>
        <x:v>-4.1556596381270445</x:v>
      </x:c>
      <x:c r="E8" s="98" t="str">
        <x:v>Offset</x:v>
      </x:c>
      <x:c r="F8" s="102" t="str">
        <x:v>Lower than the peer median, indicating less capital tied up before billing.</x:v>
      </x:c>
      <x:c r="G8" s="2"/>
      <x:c r="H8" s="2"/>
      <x:c r="I8" s="2"/>
      <x:c r="J8" s="2"/>
      <x:c r="K8" s="2"/>
    </x:row>
    <x:row r="9" ht="34" customHeight="1">
      <x:c r="A9" s="95" t="str">
        <x:v>DPO</x:v>
      </x:c>
      <x:c r="B9" s="96" t="n">
        <x:f>'Peer Benchmark Data'!B19</x:f>
        <x:v>30.877837285732486</x:v>
      </x:c>
      <x:c r="C9" s="96" t="n">
        <x:f>'Peer Benchmark Data'!C19</x:f>
        <x:v>26.04909641700616</x:v>
      </x:c>
      <x:c r="D9" s="97" t="n">
        <x:f>'Peer Benchmark Data'!D19</x:f>
        <x:v>4.8287408687263245</x:v>
      </x:c>
      <x:c r="E9" s="98" t="str">
        <x:v>Offset</x:v>
      </x:c>
      <x:c r="F9" s="102" t="str">
        <x:v>Somewhat higher than the peer median, providing modest supplier funding.</x:v>
      </x:c>
      <x:c r="G9" s="2"/>
      <x:c r="H9" s="2"/>
      <x:c r="I9" s="2"/>
      <x:c r="J9" s="2"/>
      <x:c r="K9" s="2"/>
    </x:row>
    <x:row r="10" ht="34" customHeight="1">
      <x:c r="A10" s="95" t="str">
        <x:v>Contract Liability Days</x:v>
      </x:c>
      <x:c r="B10" s="96" t="n">
        <x:f>'Peer Benchmark Data'!B20</x:f>
        <x:v>39.53211660721341</x:v>
      </x:c>
      <x:c r="C10" s="96" t="n">
        <x:f>'Peer Benchmark Data'!C20</x:f>
        <x:v>17.73024391407141</x:v>
      </x:c>
      <x:c r="D10" s="97" t="n">
        <x:f>'Peer Benchmark Data'!D20</x:f>
        <x:v>21.801872693142002</x:v>
      </x:c>
      <x:c r="E10" s="98" t="str">
        <x:v>Offset</x:v>
      </x:c>
      <x:c r="F10" s="102" t="str">
        <x:v>Materially higher than the peer median, indicating stronger customer funding.</x:v>
      </x:c>
      <x:c r="G10" s="2"/>
      <x:c r="H10" s="2"/>
      <x:c r="I10" s="2"/>
      <x:c r="J10" s="2"/>
      <x:c r="K10" s="2"/>
    </x:row>
    <x:row r="11" ht="34" customHeight="1">
      <x:c r="A11" s="72" t="str">
        <x:v>CFO / Standardized EBITDA</x:v>
      </x:c>
      <x:c r="B11" s="74" t="n">
        <x:f>'Peer Benchmark Data'!B21</x:f>
        <x:v>0.7787833213062689</x:v>
      </x:c>
      <x:c r="C11" s="74" t="n">
        <x:f>'Peer Benchmark Data'!C21</x:f>
        <x:v>0.7984994783695243</x:v>
      </x:c>
      <x:c r="D11" s="99" t="n">
        <x:f>'Peer Benchmark Data'!D21</x:f>
        <x:v>-0.019716157063255357</x:v>
      </x:c>
      <x:c r="E11" s="100" t="str">
        <x:v>Broadly near peers</x:v>
      </x:c>
      <x:c r="F11" s="75" t="str">
        <x:v>Only about 2.0 percentage points below the peer median.</x:v>
      </x:c>
      <x:c r="G11" s="2"/>
      <x:c r="H11" s="2"/>
      <x:c r="I11" s="2"/>
      <x:c r="J11" s="2"/>
      <x:c r="K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30" customHeight="1">
      <x:c r="A14" s="448" t="str">
        <x:v>Relative strengths and offsets: lower Contract Asset Days, somewhat higher DPO, materially higher Contract Liability Days and broadly similar CFO conversion.</x:v>
      </x:c>
      <x:c r="B14" s="449"/>
      <x:c r="C14" s="449"/>
      <x:c r="D14" s="449"/>
      <x:c r="E14" s="449"/>
      <x:c r="F14" s="450"/>
      <x:c r="G14" s="2"/>
      <x:c r="H14" s="2"/>
      <x:c r="I14" s="2"/>
      <x:c r="J14" s="2"/>
      <x:c r="K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20" customHeight="1">
      <x:c r="A17" s="348" t="str">
        <x:v>Finding</x:v>
      </x:c>
      <x:c r="B17" s="349"/>
      <x:c r="C17" s="352" t="str">
        <x:v>DSO is the only material relative weakness among the five headline measures used in the final report.</x:v>
      </x:c>
      <x:c r="D17" s="352"/>
      <x:c r="E17" s="352"/>
      <x:c r="F17" s="352"/>
      <x:c r="G17" s="352"/>
      <x:c r="H17" s="352"/>
      <x:c r="I17" s="352"/>
      <x:c r="J17" s="352"/>
      <x:c r="K17" s="353"/>
    </x:row>
    <x:row r="18" ht="20" customHeight="1">
      <x:c r="A18" s="350"/>
      <x:c r="B18" s="351"/>
      <x:c r="C18" s="354"/>
      <x:c r="D18" s="354"/>
      <x:c r="E18" s="354"/>
      <x:c r="F18" s="354"/>
      <x:c r="G18" s="354"/>
      <x:c r="H18" s="354"/>
      <x:c r="I18" s="354"/>
      <x:c r="J18" s="354"/>
      <x:c r="K18" s="355"/>
    </x:row>
    <x:row r="19" ht="20" customHeight="1">
      <x:c r="A19" s="350" t="str">
        <x:v>Meaning</x:v>
      </x:c>
      <x:c r="B19" s="351"/>
      <x:c r="C19" s="354" t="str">
        <x:v>The offsetting metrics indicate a targeted trade-receivable opportunity rather than a company-wide working-capital failure.</x:v>
      </x:c>
      <x:c r="D19" s="354"/>
      <x:c r="E19" s="354"/>
      <x:c r="F19" s="354"/>
      <x:c r="G19" s="354"/>
      <x:c r="H19" s="354"/>
      <x:c r="I19" s="354"/>
      <x:c r="J19" s="354"/>
      <x:c r="K19" s="355"/>
    </x:row>
    <x:row r="20" ht="20" customHeight="1">
      <x:c r="A20" s="350"/>
      <x:c r="B20" s="351"/>
      <x:c r="C20" s="354"/>
      <x:c r="D20" s="354"/>
      <x:c r="E20" s="354"/>
      <x:c r="F20" s="354"/>
      <x:c r="G20" s="354"/>
      <x:c r="H20" s="354"/>
      <x:c r="I20" s="354"/>
      <x:c r="J20" s="354"/>
      <x:c r="K20" s="355"/>
    </x:row>
    <x:row r="21" ht="20" customHeight="1">
      <x:c r="A21" s="350" t="str">
        <x:v>Limitation</x:v>
      </x:c>
      <x:c r="B21" s="351"/>
      <x:c r="C21" s="354" t="str">
        <x:v>The comparison is diagnostic. It does not establish causality or imply that stronger offsets should be separately monetized.</x:v>
      </x:c>
      <x:c r="D21" s="354"/>
      <x:c r="E21" s="354"/>
      <x:c r="F21" s="354"/>
      <x:c r="G21" s="354"/>
      <x:c r="H21" s="354"/>
      <x:c r="I21" s="354"/>
      <x:c r="J21" s="354"/>
      <x:c r="K21" s="355"/>
    </x:row>
    <x:row r="22" ht="20" customHeight="1">
      <x:c r="A22" s="350"/>
      <x:c r="B22" s="351"/>
      <x:c r="C22" s="360"/>
      <x:c r="D22" s="360"/>
      <x:c r="E22" s="360"/>
      <x:c r="F22" s="360"/>
      <x:c r="G22" s="360"/>
      <x:c r="H22" s="360"/>
      <x:c r="I22" s="360"/>
      <x:c r="J22" s="360"/>
      <x:c r="K22" s="361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</x:sheetData>
  <x:mergeCells>
    <x:mergeCell ref="A14:F14"/>
    <x:mergeCell ref="A17:B18"/>
    <x:mergeCell ref="C17:K18"/>
    <x:mergeCell ref="A19:B20"/>
    <x:mergeCell ref="C19:K20"/>
    <x:mergeCell ref="A21:B22"/>
    <x:mergeCell ref="C21:K2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0B1F33"/>
  </x:sheetPr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4" hidden="0" customWidth="1"/>
    <x:col min="6" max="6" width="15" hidden="0" customWidth="1"/>
    <x:col min="7" max="7" width="15" hidden="0" customWidth="1"/>
    <x:col min="8" max="8" width="15" hidden="0" customWidth="1"/>
    <x:col min="9" max="9" width="4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The Base Case Assumes Partial, Not Full, Convergence Toward the Peer Benchmark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0" customHeight="1">
      <x:c r="A3" s="6" t="str">
        <x:v>Resulting DSO under the approved Conservative, Base and Upside framework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403" t="str">
        <x:v>Baseline DSO</x:v>
      </x:c>
      <x:c r="B5" s="404"/>
      <x:c r="C5" s="404"/>
      <x:c r="D5" s="405"/>
      <x:c r="E5" s="2"/>
      <x:c r="F5" s="380" t="str">
        <x:v>Base resulting DSO</x:v>
      </x:c>
      <x:c r="G5" s="381"/>
      <x:c r="H5" s="381"/>
      <x:c r="I5" s="382"/>
      <x:c r="J5" s="2"/>
      <x:c r="K5" s="403" t="str">
        <x:v>Peer median / Full Convergence</x:v>
      </x:c>
      <x:c r="L5" s="404"/>
      <x:c r="M5" s="404"/>
      <x:c r="N5" s="405"/>
    </x:row>
    <x:row r="6">
      <x:c r="A6" s="418" t="n">
        <x:f>'Opportunity Data'!B7</x:f>
        <x:v>80.10556875355384</x:v>
      </x:c>
      <x:c r="B6" s="413"/>
      <x:c r="C6" s="413"/>
      <x:c r="D6" s="414"/>
      <x:c r="E6" s="2"/>
      <x:c r="F6" s="395" t="n">
        <x:f>'Opportunity Data'!D14</x:f>
        <x:v>68.6693812497148</x:v>
      </x:c>
      <x:c r="G6" s="390"/>
      <x:c r="H6" s="390"/>
      <x:c r="I6" s="391"/>
      <x:c r="J6" s="2"/>
      <x:c r="K6" s="418" t="n">
        <x:f>'Opportunity Data'!B8</x:f>
        <x:v>57.233193745875774</x:v>
      </x:c>
      <x:c r="L6" s="413"/>
      <x:c r="M6" s="413"/>
      <x:c r="N6" s="414"/>
    </x:row>
    <x:row r="7">
      <x:c r="A7" s="415"/>
      <x:c r="B7" s="416"/>
      <x:c r="C7" s="416"/>
      <x:c r="D7" s="417"/>
      <x:c r="E7" s="2"/>
      <x:c r="F7" s="392"/>
      <x:c r="G7" s="393"/>
      <x:c r="H7" s="393"/>
      <x:c r="I7" s="394"/>
      <x:c r="J7" s="2"/>
      <x:c r="K7" s="415"/>
      <x:c r="L7" s="416"/>
      <x:c r="M7" s="416"/>
      <x:c r="N7" s="417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0" customHeight="1">
      <x:c r="A27" s="348" t="str">
        <x:v>Finding</x:v>
      </x:c>
      <x:c r="B27" s="349"/>
      <x:c r="C27" s="352" t="str">
        <x:v>The Base scenario improves DSO by 11.4 days to 68.7 days. It closes only 50% of the approved peer gap.</x:v>
      </x:c>
      <x:c r="D27" s="352"/>
      <x:c r="E27" s="352"/>
      <x:c r="F27" s="352"/>
      <x:c r="G27" s="352"/>
      <x:c r="H27" s="352"/>
      <x:c r="I27" s="352"/>
      <x:c r="J27" s="352"/>
      <x:c r="K27" s="352"/>
      <x:c r="L27" s="352"/>
      <x:c r="M27" s="352"/>
      <x:c r="N27" s="353"/>
    </x:row>
    <x:row r="28" ht="20" customHeight="1">
      <x:c r="A28" s="350"/>
      <x:c r="B28" s="351"/>
      <x:c r="C28" s="354"/>
      <x:c r="D28" s="354"/>
      <x:c r="E28" s="354"/>
      <x:c r="F28" s="354"/>
      <x:c r="G28" s="354"/>
      <x:c r="H28" s="354"/>
      <x:c r="I28" s="354"/>
      <x:c r="J28" s="354"/>
      <x:c r="K28" s="354"/>
      <x:c r="L28" s="354"/>
      <x:c r="M28" s="354"/>
      <x:c r="N28" s="355"/>
    </x:row>
    <x:row r="29" ht="20" customHeight="1">
      <x:c r="A29" s="350" t="str">
        <x:v>Meaning</x:v>
      </x:c>
      <x:c r="B29" s="351"/>
      <x:c r="C29" s="354" t="str">
        <x:v>Base DSO remains approximately 11.4 days above the 57.2-day peer median, supporting a partial-convergence rather than full-convergence assumption.</x:v>
      </x:c>
      <x:c r="D29" s="354"/>
      <x:c r="E29" s="354"/>
      <x:c r="F29" s="354"/>
      <x:c r="G29" s="354"/>
      <x:c r="H29" s="354"/>
      <x:c r="I29" s="354"/>
      <x:c r="J29" s="354"/>
      <x:c r="K29" s="354"/>
      <x:c r="L29" s="354"/>
      <x:c r="M29" s="354"/>
      <x:c r="N29" s="355"/>
    </x:row>
    <x:row r="30" ht="20" customHeight="1">
      <x:c r="A30" s="350"/>
      <x:c r="B30" s="351"/>
      <x:c r="C30" s="354"/>
      <x:c r="D30" s="354"/>
      <x:c r="E30" s="354"/>
      <x:c r="F30" s="354"/>
      <x:c r="G30" s="354"/>
      <x:c r="H30" s="354"/>
      <x:c r="I30" s="354"/>
      <x:c r="J30" s="354"/>
      <x:c r="K30" s="354"/>
      <x:c r="L30" s="354"/>
      <x:c r="M30" s="354"/>
      <x:c r="N30" s="355"/>
    </x:row>
    <x:row r="31" ht="20" customHeight="1">
      <x:c r="A31" s="350" t="str">
        <x:v>Limitation</x:v>
      </x:c>
      <x:c r="B31" s="351"/>
      <x:c r="C31" s="354" t="str">
        <x:v>These scenarios describe analytical opportunity ranges. They are not operational forecasts or management guidance.</x:v>
      </x:c>
      <x:c r="D31" s="354"/>
      <x:c r="E31" s="354"/>
      <x:c r="F31" s="354"/>
      <x:c r="G31" s="354"/>
      <x:c r="H31" s="354"/>
      <x:c r="I31" s="354"/>
      <x:c r="J31" s="354"/>
      <x:c r="K31" s="354"/>
      <x:c r="L31" s="354"/>
      <x:c r="M31" s="354"/>
      <x:c r="N31" s="355"/>
    </x:row>
    <x:row r="32" ht="20" customHeight="1">
      <x:c r="A32" s="350"/>
      <x:c r="B32" s="351"/>
      <x:c r="C32" s="360"/>
      <x:c r="D32" s="360"/>
      <x:c r="E32" s="360"/>
      <x:c r="F32" s="360"/>
      <x:c r="G32" s="360"/>
      <x:c r="H32" s="360"/>
      <x:c r="I32" s="360"/>
      <x:c r="J32" s="360"/>
      <x:c r="K32" s="360"/>
      <x:c r="L32" s="360"/>
      <x:c r="M32" s="360"/>
      <x:c r="N32" s="361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32" customHeight="1">
      <x:c r="A35" s="50" t="str">
        <x:v>Scenario</x:v>
      </x:c>
      <x:c r="B35" s="51" t="str">
        <x:v>Other Cases</x:v>
      </x:c>
      <x:c r="C35" s="51" t="str">
        <x:v>Base</x:v>
      </x:c>
      <x:c r="D35" s="52" t="str">
        <x:v>Reference Only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53" t="str">
        <x:v>Baseline</x:v>
      </x:c>
      <x:c r="B36" s="54" t="n">
        <x:f>'Opportunity Data'!B7</x:f>
        <x:v>80.10556875355384</x:v>
      </x:c>
      <x:c r="C36" s="54"/>
      <x:c r="D36" s="54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37" t="str">
        <x:v>Conservative</x:v>
      </x:c>
      <x:c r="B37" s="55" t="n">
        <x:f>'Opportunity Data'!D13</x:f>
        <x:v>74.38747500163433</x:v>
      </x:c>
      <x:c r="C37" s="55"/>
      <x:c r="D37" s="55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122" t="str">
        <x:v>Base</x:v>
      </x:c>
      <x:c r="B38" s="452"/>
      <x:c r="C38" s="452" t="n">
        <x:f>'Opportunity Data'!D14</x:f>
        <x:v>68.6693812497148</x:v>
      </x:c>
      <x:c r="D38" s="45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37" t="str">
        <x:v>Upside</x:v>
      </x:c>
      <x:c r="B39" s="55" t="n">
        <x:f>'Opportunity Data'!D15</x:f>
        <x:v>62.95128749779529</x:v>
      </x:c>
      <x:c r="C39" s="55"/>
      <x:c r="D39" s="55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128" t="str">
        <x:v>Peer Median / Full Convergence</x:v>
      </x:c>
      <x:c r="B40" s="453"/>
      <x:c r="C40" s="453"/>
      <x:c r="D40" s="453" t="n">
        <x:f>'Opportunity Data'!D16</x:f>
        <x:v>57.233193745875774</x:v>
      </x:c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</x:sheetData>
  <x:mergeCells>
    <x:mergeCell ref="A5:D5"/>
    <x:mergeCell ref="A6:D7"/>
    <x:mergeCell ref="F5:I5"/>
    <x:mergeCell ref="F6:I7"/>
    <x:mergeCell ref="K5:N5"/>
    <x:mergeCell ref="K6:N7"/>
    <x:mergeCell ref="A27:B28"/>
    <x:mergeCell ref="C27:N28"/>
    <x:mergeCell ref="A29:B30"/>
    <x:mergeCell ref="C29:N30"/>
    <x:mergeCell ref="A31:B32"/>
    <x:mergeCell ref="C31:N32"/>
  </x:mergeCells>
  <x:pageMargins left="0.7" right="0.7" top="0.75" bottom="0.75" header="0.3" footer="0.3"/>
  <x:drawing xmlns:r="http://schemas.openxmlformats.org/officeDocument/2006/relationships" r:id="Rf23456b32521445b"/>
</x:worksheet>
</file>

<file path=xl/worksheets/sheet10.xml><?xml version="1.0" encoding="utf-8"?>
<x:worksheet xmlns:x="http://schemas.openxmlformats.org/spreadsheetml/2006/main">
  <x:sheetPr>
    <x:tabColor rgb="FF0B1F33"/>
  </x:sheetPr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4" t="str">
        <x:v>An 11.4-Day DSO Improvement Could Release Approximately ¥152.7bn of Cash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20" customHeight="1">
      <x:c r="A3" s="6" t="str">
        <x:v>One-time cash release and potential annual pre-tax financing benefit are presented separately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>
      <x:c r="A5" s="380" t="str">
        <x:v>Base one-time cash release</x:v>
      </x:c>
      <x:c r="B5" s="381"/>
      <x:c r="C5" s="381"/>
      <x:c r="D5" s="381"/>
      <x:c r="E5" s="382"/>
      <x:c r="F5" s="462" t="str">
        <x:v>Potential annual pre-tax benefit — 100% utilization</x:v>
      </x:c>
      <x:c r="G5" s="463"/>
      <x:c r="H5" s="463"/>
      <x:c r="I5" s="463"/>
      <x:c r="J5" s="464"/>
      <x:c r="K5" s="426" t="str">
        <x:v>75% financing-utilization reference</x:v>
      </x:c>
      <x:c r="L5" s="427"/>
      <x:c r="M5" s="427"/>
      <x:c r="N5" s="427"/>
      <x:c r="O5" s="427"/>
      <x:c r="P5" s="428"/>
    </x:row>
    <x:row r="6">
      <x:c r="A6" s="454" t="n">
        <x:f>'Opportunity Data'!E14</x:f>
        <x:v>152.74673342456347</x:v>
      </x:c>
      <x:c r="B6" s="390"/>
      <x:c r="C6" s="390"/>
      <x:c r="D6" s="390"/>
      <x:c r="E6" s="391"/>
      <x:c r="F6" s="477" t="n">
        <x:f>'Opportunity Data'!F14</x:f>
        <x:v>5.8689113722037</x:v>
      </x:c>
      <x:c r="G6" s="472"/>
      <x:c r="H6" s="472"/>
      <x:c r="I6" s="472"/>
      <x:c r="J6" s="473"/>
      <x:c r="K6" s="478" t="n">
        <x:f>'Opportunity Data'!G14</x:f>
        <x:v>4.401683529152775</x:v>
      </x:c>
      <x:c r="L6" s="436"/>
      <x:c r="M6" s="436"/>
      <x:c r="N6" s="436"/>
      <x:c r="O6" s="436"/>
      <x:c r="P6" s="437"/>
    </x:row>
    <x:row r="7">
      <x:c r="A7" s="392"/>
      <x:c r="B7" s="393"/>
      <x:c r="C7" s="393"/>
      <x:c r="D7" s="393"/>
      <x:c r="E7" s="394"/>
      <x:c r="F7" s="474"/>
      <x:c r="G7" s="475"/>
      <x:c r="H7" s="475"/>
      <x:c r="I7" s="475"/>
      <x:c r="J7" s="476"/>
      <x:c r="K7" s="438"/>
      <x:c r="L7" s="439"/>
      <x:c r="M7" s="439"/>
      <x:c r="N7" s="439"/>
      <x:c r="O7" s="439"/>
      <x:c r="P7" s="440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0" customHeight="1">
      <x:c r="A25" s="348" t="str">
        <x:v>Finding</x:v>
      </x:c>
      <x:c r="B25" s="349"/>
      <x:c r="C25" s="352" t="str">
        <x:v>The Base scenario implies a one-time receivables cash release of ¥152.7bn and a potential annual pre-tax financing benefit of ¥5.9bn at 100% utilization. The approved 75% reference is ¥4.4bn.</x:v>
      </x:c>
      <x:c r="D25" s="352"/>
      <x:c r="E25" s="352"/>
      <x:c r="F25" s="352"/>
      <x:c r="G25" s="352"/>
      <x:c r="H25" s="352"/>
      <x:c r="I25" s="352"/>
      <x:c r="J25" s="352"/>
      <x:c r="K25" s="352"/>
      <x:c r="L25" s="352"/>
      <x:c r="M25" s="352"/>
      <x:c r="N25" s="352"/>
      <x:c r="O25" s="352"/>
      <x:c r="P25" s="353"/>
    </x:row>
    <x:row r="26" ht="20" customHeight="1">
      <x:c r="A26" s="350"/>
      <x:c r="B26" s="351"/>
      <x:c r="C26" s="354"/>
      <x:c r="D26" s="354"/>
      <x:c r="E26" s="354"/>
      <x:c r="F26" s="354"/>
      <x:c r="G26" s="354"/>
      <x:c r="H26" s="354"/>
      <x:c r="I26" s="354"/>
      <x:c r="J26" s="354"/>
      <x:c r="K26" s="354"/>
      <x:c r="L26" s="354"/>
      <x:c r="M26" s="354"/>
      <x:c r="N26" s="354"/>
      <x:c r="O26" s="354"/>
      <x:c r="P26" s="355"/>
    </x:row>
    <x:row r="27" ht="20" customHeight="1">
      <x:c r="A27" s="350" t="str">
        <x:v>Meaning</x:v>
      </x:c>
      <x:c r="B27" s="351"/>
      <x:c r="C27" s="354" t="str">
        <x:v>The cash release improves balance-sheet liquidity. The annual benefit is possible only if the released cash reduces or avoids financing requirements.</x:v>
      </x:c>
      <x:c r="D27" s="354"/>
      <x:c r="E27" s="354"/>
      <x:c r="F27" s="354"/>
      <x:c r="G27" s="354"/>
      <x:c r="H27" s="354"/>
      <x:c r="I27" s="354"/>
      <x:c r="J27" s="354"/>
      <x:c r="K27" s="354"/>
      <x:c r="L27" s="354"/>
      <x:c r="M27" s="354"/>
      <x:c r="N27" s="354"/>
      <x:c r="O27" s="354"/>
      <x:c r="P27" s="355"/>
    </x:row>
    <x:row r="28" ht="20" customHeight="1">
      <x:c r="A28" s="350"/>
      <x:c r="B28" s="351"/>
      <x:c r="C28" s="354"/>
      <x:c r="D28" s="354"/>
      <x:c r="E28" s="354"/>
      <x:c r="F28" s="354"/>
      <x:c r="G28" s="354"/>
      <x:c r="H28" s="354"/>
      <x:c r="I28" s="354"/>
      <x:c r="J28" s="354"/>
      <x:c r="K28" s="354"/>
      <x:c r="L28" s="354"/>
      <x:c r="M28" s="354"/>
      <x:c r="N28" s="354"/>
      <x:c r="O28" s="354"/>
      <x:c r="P28" s="355"/>
    </x:row>
    <x:row r="29" ht="20" customHeight="1">
      <x:c r="A29" s="350" t="str">
        <x:v>Limitation</x:v>
      </x:c>
      <x:c r="B29" s="351"/>
      <x:c r="C29" s="354" t="str">
        <x:v>Cash release is not profit and does not recur annually. The two measures must not be added. Full Convergence remains a reference only.</x:v>
      </x:c>
      <x:c r="D29" s="354"/>
      <x:c r="E29" s="354"/>
      <x:c r="F29" s="354"/>
      <x:c r="G29" s="354"/>
      <x:c r="H29" s="354"/>
      <x:c r="I29" s="354"/>
      <x:c r="J29" s="354"/>
      <x:c r="K29" s="354"/>
      <x:c r="L29" s="354"/>
      <x:c r="M29" s="354"/>
      <x:c r="N29" s="354"/>
      <x:c r="O29" s="354"/>
      <x:c r="P29" s="355"/>
    </x:row>
    <x:row r="30" ht="20" customHeight="1">
      <x:c r="A30" s="350"/>
      <x:c r="B30" s="351"/>
      <x:c r="C30" s="360"/>
      <x:c r="D30" s="360"/>
      <x:c r="E30" s="360"/>
      <x:c r="F30" s="360"/>
      <x:c r="G30" s="360"/>
      <x:c r="H30" s="360"/>
      <x:c r="I30" s="360"/>
      <x:c r="J30" s="360"/>
      <x:c r="K30" s="360"/>
      <x:c r="L30" s="360"/>
      <x:c r="M30" s="360"/>
      <x:c r="N30" s="360"/>
      <x:c r="O30" s="360"/>
      <x:c r="P30" s="361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27" customHeight="1">
      <x:c r="A34" s="50" t="str">
        <x:v>Scenario</x:v>
      </x:c>
      <x:c r="B34" s="51" t="str">
        <x:v>Cash Release (¥bn)</x:v>
      </x:c>
      <x:c r="C34" s="51" t="str">
        <x:v>Annual Benefit — 100% (¥bn)</x:v>
      </x:c>
      <x:c r="D34" s="52" t="str">
        <x:v>Annual Benefit — 75% (¥bn)</x:v>
      </x:c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27" customHeight="1">
      <x:c r="A35" s="53" t="str">
        <x:v>Conservative</x:v>
      </x:c>
      <x:c r="B35" s="107" t="n">
        <x:f>'Opportunity Data'!E13</x:f>
        <x:v>76.37336671228174</x:v>
      </x:c>
      <x:c r="C35" s="107" t="n">
        <x:f>'Opportunity Data'!F13</x:f>
        <x:v>2.93445568610185</x:v>
      </x:c>
      <x:c r="D35" s="107" t="n">
        <x:f>'Opportunity Data'!G13</x:f>
        <x:v>2.2008417645763876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27" customHeight="1">
      <x:c r="A36" s="122" t="str">
        <x:v>Base</x:v>
      </x:c>
      <x:c r="B36" s="480" t="n">
        <x:f>'Opportunity Data'!E14</x:f>
        <x:v>152.74673342456347</x:v>
      </x:c>
      <x:c r="C36" s="480" t="n">
        <x:f>'Opportunity Data'!F14</x:f>
        <x:v>5.8689113722037</x:v>
      </x:c>
      <x:c r="D36" s="480" t="n">
        <x:f>'Opportunity Data'!G14</x:f>
        <x:v>4.401683529152775</x:v>
      </x:c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27" customHeight="1">
      <x:c r="A37" s="37" t="str">
        <x:v>Upside</x:v>
      </x:c>
      <x:c r="B37" s="113" t="n">
        <x:f>'Opportunity Data'!E15</x:f>
        <x:v>229.1201001368452</x:v>
      </x:c>
      <x:c r="C37" s="113" t="n">
        <x:f>'Opportunity Data'!F15</x:f>
        <x:v>8.80336705830555</x:v>
      </x:c>
      <x:c r="D37" s="113" t="n">
        <x:f>'Opportunity Data'!G15</x:f>
        <x:v>6.602525293729163</x:v>
      </x:c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42" customHeight="1">
      <x:c r="A38" s="133" t="str">
        <x:v>Full Convergence — Reference Only</x:v>
      </x:c>
      <x:c r="B38" s="482" t="n">
        <x:f>'Opportunity Data'!E16</x:f>
        <x:v>305.49346684912695</x:v>
      </x:c>
      <x:c r="C38" s="482" t="n">
        <x:f>'Opportunity Data'!F16</x:f>
        <x:v>11.7378227444074</x:v>
      </x:c>
      <x:c r="D38" s="482" t="n">
        <x:f>'Opportunity Data'!G16</x:f>
        <x:v>8.80336705830555</x:v>
      </x:c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</x:sheetData>
  <x:mergeCells>
    <x:mergeCell ref="A5:E5"/>
    <x:mergeCell ref="A6:E7"/>
    <x:mergeCell ref="F5:J5"/>
    <x:mergeCell ref="F6:J7"/>
    <x:mergeCell ref="K5:P5"/>
    <x:mergeCell ref="K6:P7"/>
    <x:mergeCell ref="A25:B26"/>
    <x:mergeCell ref="C25:P26"/>
    <x:mergeCell ref="A27:B28"/>
    <x:mergeCell ref="C27:P28"/>
    <x:mergeCell ref="A29:B30"/>
    <x:mergeCell ref="C29:P30"/>
  </x:mergeCells>
  <x:pageMargins left="0.7" right="0.7" top="0.75" bottom="0.75" header="0.3" footer="0.3"/>
  <x:drawing xmlns:r="http://schemas.openxmlformats.org/officeDocument/2006/relationships" r:id="R91b80ae8d3d04257"/>
</x:worksheet>
</file>

<file path=xl/worksheets/sheet11.xml><?xml version="1.0" encoding="utf-8"?>
<x:worksheet xmlns:x="http://schemas.openxmlformats.org/spreadsheetml/2006/main">
  <x:sheetPr>
    <x:tabColor rgb="FF66708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34" hidden="0" customWidth="1"/>
    <x:col min="3" max="3" width="56" hidden="0" customWidth="1"/>
    <x:col min="4" max="4" width="30" hidden="0" customWidth="1"/>
    <x:col min="5" max="5" width="32" hidden="0" customWidth="1"/>
    <x:col min="6" max="6" width="66" hidden="0" customWidth="1"/>
  </x:cols>
  <x:sheetData>
    <x:row r="1">
      <x:c r="A1" s="2"/>
      <x:c r="B1" s="2"/>
      <x:c r="C1" s="2"/>
      <x:c r="D1" s="2"/>
      <x:c r="E1" s="2"/>
      <x:c r="F1" s="2"/>
    </x:row>
    <x:row r="2" ht="24" customHeight="1">
      <x:c r="A2" s="4" t="str">
        <x:v>Exhibit Source Register</x:v>
      </x:c>
      <x:c r="B2" s="5"/>
      <x:c r="C2" s="5"/>
      <x:c r="D2" s="5"/>
      <x:c r="E2" s="5"/>
      <x:c r="F2" s="5"/>
    </x:row>
    <x:row r="3" ht="20" customHeight="1">
      <x:c r="A3" s="6" t="str">
        <x:v>Every major presentation figure is traceable to an approved Phase 1–4 workbook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 ht="32" customHeight="1">
      <x:c r="A6" s="50" t="str">
        <x:v>Exhibit</x:v>
      </x:c>
      <x:c r="B6" s="51" t="str">
        <x:v>Metric / Data</x:v>
      </x:c>
      <x:c r="C6" s="51" t="str">
        <x:v>Source Workbook</x:v>
      </x:c>
      <x:c r="D6" s="51" t="str">
        <x:v>Source Sheet</x:v>
      </x:c>
      <x:c r="E6" s="51" t="str">
        <x:v>Source Cell / Range</x:v>
      </x:c>
      <x:c r="F6" s="52" t="str">
        <x:v>Notes</x:v>
      </x:c>
    </x:row>
    <x:row r="7" ht="39" customHeight="1">
      <x:c r="A7" s="483" t="str">
        <x:v>Exhibit 1</x:v>
      </x:c>
      <x:c r="B7" s="34" t="str">
        <x:v>Operating-cycle account definitions</x:v>
      </x:c>
      <x:c r="C7" s="34" t="str">
        <x:v>NTT_DATA_Phase1_Raw_Data_FY2015-FY2025.xlsx</x:v>
      </x:c>
      <x:c r="D7" s="34" t="str">
        <x:v>Working Capital</x:v>
      </x:c>
      <x:c r="E7" s="34" t="str">
        <x:v>A5:Z28</x:v>
      </x:c>
      <x:c r="F7" s="34" t="str">
        <x:v>Approved raw account separation and contract-asset definition.</x:v>
      </x:c>
    </x:row>
    <x:row r="8" ht="39" customHeight="1">
      <x:c r="A8" s="484" t="str">
        <x:v>Exhibit 2</x:v>
      </x:c>
      <x:c r="B8" s="36" t="str">
        <x:v>Historical DSO FY2019–FY2023</x:v>
      </x:c>
      <x:c r="C8" s="36" t="str">
        <x:v>NTT_DATA_Phase3_Step4_Peer_Benchmarking_FINAL.xlsx</x:v>
      </x:c>
      <x:c r="D8" s="36" t="str">
        <x:v>DSO</x:v>
      </x:c>
      <x:c r="E8" s="36" t="str">
        <x:v>H9:H13</x:v>
      </x:c>
      <x:c r="F8" s="36" t="str">
        <x:v>Approved annual average-balance DSO observations.</x:v>
      </x:c>
    </x:row>
    <x:row r="9" ht="39" customHeight="1">
      <x:c r="A9" s="484" t="str">
        <x:v>Exhibit 2</x:v>
      </x:c>
      <x:c r="B9" s="36" t="str">
        <x:v>FY2022 structural break</x:v>
      </x:c>
      <x:c r="C9" s="36" t="str">
        <x:v>NTT_DATA_Phase3_Step4_Peer_Benchmarking_FINAL.xlsx</x:v>
      </x:c>
      <x:c r="D9" s="36" t="str">
        <x:v>DSO</x:v>
      </x:c>
      <x:c r="E9" s="36" t="str">
        <x:v>I12:J12</x:v>
      </x:c>
      <x:c r="F9" s="36" t="str">
        <x:v>NTT Ltd. consolidation year retained but excluded from clean-period statistics.</x:v>
      </x:c>
    </x:row>
    <x:row r="10" ht="39" customHeight="1">
      <x:c r="A10" s="484" t="str">
        <x:v>Historical Data</x:v>
      </x:c>
      <x:c r="B10" s="36" t="str">
        <x:v>Underlying NTT DATA Revenue FY2019–FY2023</x:v>
      </x:c>
      <x:c r="C10" s="36" t="str">
        <x:v>NTT_DATA_Phase1_Raw_Data_FY2015-FY2025.xlsx</x:v>
      </x:c>
      <x:c r="D10" s="36" t="str">
        <x:v>NTT DATA Financials</x:v>
      </x:c>
      <x:c r="E10" s="36" t="str">
        <x:v>H6:L6</x:v>
      </x:c>
      <x:c r="F10" s="36" t="str">
        <x:v>Reported Revenue used by approved day calculations.</x:v>
      </x:c>
    </x:row>
    <x:row r="11" ht="39" customHeight="1">
      <x:c r="A11" s="484" t="str">
        <x:v>Historical Data</x:v>
      </x:c>
      <x:c r="B11" s="36" t="str">
        <x:v>Underlying NTT DATA working-capital balances</x:v>
      </x:c>
      <x:c r="C11" s="36" t="str">
        <x:v>NTT_DATA_Phase1_Raw_Data_FY2015-FY2025.xlsx</x:v>
      </x:c>
      <x:c r="D11" s="36" t="str">
        <x:v>Working Capital</x:v>
      </x:c>
      <x:c r="E11" s="36" t="str">
        <x:v>H6:L26</x:v>
      </x:c>
      <x:c r="F11" s="36" t="str">
        <x:v>Trade receivables, Contract Assets, Inventory, Trade Payables and Contract Liabilities.</x:v>
      </x:c>
    </x:row>
    <x:row r="12" ht="39" customHeight="1">
      <x:c r="A12" s="484" t="str">
        <x:v>Historical Data</x:v>
      </x:c>
      <x:c r="B12" s="36" t="str">
        <x:v>Contract Asset Days FY2019–FY2023</x:v>
      </x:c>
      <x:c r="C12" s="36" t="str">
        <x:v>NTT_DATA_Phase3_Step4_Peer_Benchmarking_FINAL.xlsx</x:v>
      </x:c>
      <x:c r="D12" s="36" t="str">
        <x:v>Contract Asset Days</x:v>
      </x:c>
      <x:c r="E12" s="36" t="str">
        <x:v>H9:H13</x:v>
      </x:c>
      <x:c r="F12" s="36" t="str">
        <x:v>Approved annual results.</x:v>
      </x:c>
    </x:row>
    <x:row r="13" ht="39" customHeight="1">
      <x:c r="A13" s="484" t="str">
        <x:v>Historical Data</x:v>
      </x:c>
      <x:c r="B13" s="36" t="str">
        <x:v>DIO FY2019–FY2023</x:v>
      </x:c>
      <x:c r="C13" s="36" t="str">
        <x:v>NTT_DATA_Phase3_Step4_Peer_Benchmarking_FINAL.xlsx</x:v>
      </x:c>
      <x:c r="D13" s="36" t="str">
        <x:v>DIO</x:v>
      </x:c>
      <x:c r="E13" s="36" t="str">
        <x:v>H9:H13</x:v>
      </x:c>
      <x:c r="F13" s="36" t="str">
        <x:v>Approved annual results.</x:v>
      </x:c>
    </x:row>
    <x:row r="14" ht="39" customHeight="1">
      <x:c r="A14" s="484" t="str">
        <x:v>Historical Data</x:v>
      </x:c>
      <x:c r="B14" s="36" t="str">
        <x:v>DPO FY2019–FY2023</x:v>
      </x:c>
      <x:c r="C14" s="36" t="str">
        <x:v>NTT_DATA_Phase3_Step4_Peer_Benchmarking_FINAL.xlsx</x:v>
      </x:c>
      <x:c r="D14" s="36" t="str">
        <x:v>DPO</x:v>
      </x:c>
      <x:c r="E14" s="36" t="str">
        <x:v>H9:H13</x:v>
      </x:c>
      <x:c r="F14" s="36" t="str">
        <x:v>Approved annual results.</x:v>
      </x:c>
    </x:row>
    <x:row r="15" ht="39" customHeight="1">
      <x:c r="A15" s="484" t="str">
        <x:v>Historical Data</x:v>
      </x:c>
      <x:c r="B15" s="36" t="str">
        <x:v>Contract Liability Days FY2019–FY2023</x:v>
      </x:c>
      <x:c r="C15" s="36" t="str">
        <x:v>NTT_DATA_Phase3_Step4_Peer_Benchmarking_FINAL.xlsx</x:v>
      </x:c>
      <x:c r="D15" s="36" t="str">
        <x:v>Contract Liability Days</x:v>
      </x:c>
      <x:c r="E15" s="36" t="str">
        <x:v>H9:H13</x:v>
      </x:c>
      <x:c r="F15" s="36" t="str">
        <x:v>Approved annual results.</x:v>
      </x:c>
    </x:row>
    <x:row r="16" ht="39" customHeight="1">
      <x:c r="A16" s="484" t="str">
        <x:v>Exhibits 3–4</x:v>
      </x:c>
      <x:c r="B16" s="36" t="str">
        <x:v>Company clean-period DSO medians</x:v>
      </x:c>
      <x:c r="C16" s="36" t="str">
        <x:v>NTT_DATA_Phase3_Step4_Peer_Benchmarking_FINAL.xlsx</x:v>
      </x:c>
      <x:c r="D16" s="36" t="str">
        <x:v>Company Clean Period Stats</x:v>
      </x:c>
      <x:c r="E16" s="36" t="str">
        <x:v>D8:D12</x:v>
      </x:c>
      <x:c r="F16" s="36" t="str">
        <x:v>NTT DATA plus four external peers.</x:v>
      </x:c>
    </x:row>
    <x:row r="17" ht="39" customHeight="1">
      <x:c r="A17" s="484" t="str">
        <x:v>Exhibit 4</x:v>
      </x:c>
      <x:c r="B17" s="36" t="str">
        <x:v>Company Contract Asset Days medians</x:v>
      </x:c>
      <x:c r="C17" s="36" t="str">
        <x:v>NTT_DATA_Phase3_Step4_Peer_Benchmarking_FINAL.xlsx</x:v>
      </x:c>
      <x:c r="D17" s="36" t="str">
        <x:v>Company Clean Period Stats</x:v>
      </x:c>
      <x:c r="E17" s="36" t="str">
        <x:v>D13:D17</x:v>
      </x:c>
      <x:c r="F17" s="36" t="str">
        <x:v>Metric-specific clean-period medians.</x:v>
      </x:c>
    </x:row>
    <x:row r="18" ht="39" customHeight="1">
      <x:c r="A18" s="484" t="str">
        <x:v>Exhibit 4</x:v>
      </x:c>
      <x:c r="B18" s="36" t="str">
        <x:v>Company DPO medians</x:v>
      </x:c>
      <x:c r="C18" s="36" t="str">
        <x:v>NTT_DATA_Phase3_Step4_Peer_Benchmarking_FINAL.xlsx</x:v>
      </x:c>
      <x:c r="D18" s="36" t="str">
        <x:v>Company Clean Period Stats</x:v>
      </x:c>
      <x:c r="E18" s="36" t="str">
        <x:v>D23:D27</x:v>
      </x:c>
      <x:c r="F18" s="36" t="str">
        <x:v>CGI unavailable and excluded for this metric.</x:v>
      </x:c>
    </x:row>
    <x:row r="19" ht="39" customHeight="1">
      <x:c r="A19" s="484" t="str">
        <x:v>Exhibit 4</x:v>
      </x:c>
      <x:c r="B19" s="36" t="str">
        <x:v>Company Contract Liability Days medians</x:v>
      </x:c>
      <x:c r="C19" s="36" t="str">
        <x:v>NTT_DATA_Phase3_Step4_Peer_Benchmarking_FINAL.xlsx</x:v>
      </x:c>
      <x:c r="D19" s="36" t="str">
        <x:v>Company Clean Period Stats</x:v>
      </x:c>
      <x:c r="E19" s="36" t="str">
        <x:v>D28:D32</x:v>
      </x:c>
      <x:c r="F19" s="36" t="str">
        <x:v>Metric-specific clean-period medians.</x:v>
      </x:c>
    </x:row>
    <x:row r="20" ht="39" customHeight="1">
      <x:c r="A20" s="484" t="str">
        <x:v>Exhibit 4</x:v>
      </x:c>
      <x:c r="B20" s="36" t="str">
        <x:v>Company CFO / Standardized EBITDA medians</x:v>
      </x:c>
      <x:c r="C20" s="36" t="str">
        <x:v>NTT_DATA_Phase3_Step4_Peer_Benchmarking_FINAL.xlsx</x:v>
      </x:c>
      <x:c r="D20" s="36" t="str">
        <x:v>Company Clean Period Stats</x:v>
      </x:c>
      <x:c r="E20" s="36" t="str">
        <x:v>D48:D52</x:v>
      </x:c>
      <x:c r="F20" s="36" t="str">
        <x:v>Approved standardized conversion metric.</x:v>
      </x:c>
    </x:row>
    <x:row r="21" ht="39" customHeight="1">
      <x:c r="A21" s="484" t="str">
        <x:v>Exhibits 3–4</x:v>
      </x:c>
      <x:c r="B21" s="36" t="str">
        <x:v>Peer medians and NTT DATA gaps</x:v>
      </x:c>
      <x:c r="C21" s="36" t="str">
        <x:v>NTT_DATA_Phase3_Step4_Peer_Benchmarking_FINAL.xlsx</x:v>
      </x:c>
      <x:c r="D21" s="36" t="str">
        <x:v>Benchmark Summary</x:v>
      </x:c>
      <x:c r="E21" s="36" t="str">
        <x:v>A7:L16</x:v>
      </x:c>
      <x:c r="F21" s="36" t="str">
        <x:v>Final metric-specific benchmark methodology.</x:v>
      </x:c>
    </x:row>
    <x:row r="22" ht="39" customHeight="1">
      <x:c r="A22" s="484" t="str">
        <x:v>Peer Data</x:v>
      </x:c>
      <x:c r="B22" s="36" t="str">
        <x:v>Normalized peer-data inputs</x:v>
      </x:c>
      <x:c r="C22" s="36" t="str">
        <x:v>NTT_DATA_Phase3_Step3_Normalized_Peer_Data.xlsx</x:v>
      </x:c>
      <x:c r="D22" s="36" t="str">
        <x:v>Normalized Peer Data</x:v>
      </x:c>
      <x:c r="E22" s="36" t="str">
        <x:v>A1:W31</x:v>
      </x:c>
      <x:c r="F22" s="36" t="str">
        <x:v>Final normalized peer-data source used by Phase 3 calculations.</x:v>
      </x:c>
    </x:row>
    <x:row r="23" ht="39" customHeight="1">
      <x:c r="A23" s="484" t="str">
        <x:v>Interpretation</x:v>
      </x:c>
      <x:c r="B23" s="36" t="str">
        <x:v>Final strengths, weaknesses and priority diagnosis</x:v>
      </x:c>
      <x:c r="C23" s="36" t="str">
        <x:v>NTT_DATA_Phase3_Step5_Final_Diagnosis.xlsx</x:v>
      </x:c>
      <x:c r="D23" s="36" t="str">
        <x:v>Phase 3 Final Diagnosis</x:v>
      </x:c>
      <x:c r="E23" s="36" t="str">
        <x:v>A1:D19</x:v>
      </x:c>
      <x:c r="F23" s="36" t="str">
        <x:v>Approved diagnosis supporting targeted receivables focus.</x:v>
      </x:c>
    </x:row>
    <x:row r="24" ht="39" customHeight="1">
      <x:c r="A24" s="484" t="str">
        <x:v>Exhibits 5–6</x:v>
      </x:c>
      <x:c r="B24" s="36" t="str">
        <x:v>Baseline DSO, peer median and DSO gap</x:v>
      </x:c>
      <x:c r="C24" s="36" t="str">
        <x:v>NTT_DATA_Phase4_Step4_Final_Opportunity_Assessment_FINAL.xlsx</x:v>
      </x:c>
      <x:c r="D24" s="36" t="str">
        <x:v>README</x:v>
      </x:c>
      <x:c r="E24" s="36" t="str">
        <x:v>B13:B15</x:v>
      </x:c>
      <x:c r="F24" s="36" t="str">
        <x:v>Approved clean-period baseline and theoretical gap.</x:v>
      </x:c>
    </x:row>
    <x:row r="25" ht="39" customHeight="1">
      <x:c r="A25" s="484" t="str">
        <x:v>Exhibits 5–6</x:v>
      </x:c>
      <x:c r="B25" s="36" t="str">
        <x:v>Scenario gap closure, DSO improvement and resulting DSO</x:v>
      </x:c>
      <x:c r="C25" s="36" t="str">
        <x:v>NTT_DATA_Phase4_Step4_Final_Opportunity_Assessment_FINAL.xlsx</x:v>
      </x:c>
      <x:c r="D25" s="36" t="str">
        <x:v>P4 Summary</x:v>
      </x:c>
      <x:c r="E25" s="36" t="str">
        <x:v>A14:D18</x:v>
      </x:c>
      <x:c r="F25" s="36" t="str">
        <x:v>Precise approved scenario outputs.</x:v>
      </x:c>
    </x:row>
    <x:row r="26" ht="39" customHeight="1">
      <x:c r="A26" s="484" t="str">
        <x:v>Exhibit 6</x:v>
      </x:c>
      <x:c r="B26" s="36" t="str">
        <x:v>Cash release and 100% utilization benefit</x:v>
      </x:c>
      <x:c r="C26" s="36" t="str">
        <x:v>NTT_DATA_Phase4_Step4_Final_Opportunity_Assessment_FINAL.xlsx</x:v>
      </x:c>
      <x:c r="D26" s="36" t="str">
        <x:v>P4 Summary</x:v>
      </x:c>
      <x:c r="E26" s="36" t="str">
        <x:v>E14:G18</x:v>
      </x:c>
      <x:c r="F26" s="36" t="str">
        <x:v>Cash Release in ¥m converted to ¥bn only for display.</x:v>
      </x:c>
    </x:row>
    <x:row r="27" ht="39" customHeight="1">
      <x:c r="A27" s="484" t="str">
        <x:v>Opportunity Data</x:v>
      </x:c>
      <x:c r="B27" s="36" t="str">
        <x:v>Normalized FY2025 Revenue</x:v>
      </x:c>
      <x:c r="C27" s="36" t="str">
        <x:v>NTT_DATA_Phase4_Step4_Final_Opportunity_Assessment_FINAL.xlsx</x:v>
      </x:c>
      <x:c r="D27" s="36" t="str">
        <x:v>Sources &amp; Assumptions</x:v>
      </x:c>
      <x:c r="E27" s="36" t="str">
        <x:v>B10</x:v>
      </x:c>
      <x:c r="F27" s="36" t="str">
        <x:v>¥4,875.1bn approved primary Revenue base.</x:v>
      </x:c>
    </x:row>
    <x:row r="28" ht="39" customHeight="1">
      <x:c r="A28" s="484" t="str">
        <x:v>Opportunity Data</x:v>
      </x:c>
      <x:c r="B28" s="36" t="str">
        <x:v>Selected financing-cost proxy</x:v>
      </x:c>
      <x:c r="C28" s="36" t="str">
        <x:v>NTT_DATA_Phase4_Step4_Final_Opportunity_Assessment_FINAL.xlsx</x:v>
      </x:c>
      <x:c r="D28" s="36" t="str">
        <x:v>S3 Assumptions</x:v>
      </x:c>
      <x:c r="E28" s="36" t="str">
        <x:v>B13</x:v>
      </x:c>
      <x:c r="F28" s="36" t="str">
        <x:v>3.84225% historical effective debt-cost proxy.</x:v>
      </x:c>
    </x:row>
    <x:row r="29" ht="39" customHeight="1">
      <x:c r="A29" s="484" t="str">
        <x:v>Exhibit 6</x:v>
      </x:c>
      <x:c r="B29" s="36" t="str">
        <x:v>Base 75% financing-utilization reference</x:v>
      </x:c>
      <x:c r="C29" s="36" t="str">
        <x:v>NTT_DATA_Phase4_Step4_Final_Opportunity_Assessment_FINAL.xlsx</x:v>
      </x:c>
      <x:c r="D29" s="36" t="str">
        <x:v>P4 Summary</x:v>
      </x:c>
      <x:c r="E29" s="36" t="str">
        <x:v>B29</x:v>
      </x:c>
      <x:c r="F29" s="36" t="str">
        <x:v>Approved ¥4.4017bn Base reference.</x:v>
      </x:c>
    </x:row>
    <x:row r="30" ht="39" customHeight="1">
      <x:c r="A30" s="484" t="str">
        <x:v>Opportunity Data</x:v>
      </x:c>
      <x:c r="B30" s="36" t="str">
        <x:v>75% utilization across scenarios</x:v>
      </x:c>
      <x:c r="C30" s="36" t="str">
        <x:v>NTT_DATA_Phase4_Step4_Final_Opportunity_Assessment_FINAL.xlsx</x:v>
      </x:c>
      <x:c r="D30" s="36" t="str">
        <x:v>S3 Sensitivity</x:v>
      </x:c>
      <x:c r="E30" s="36" t="str">
        <x:v>A22:H26</x:v>
      </x:c>
      <x:c r="F30" s="36" t="str">
        <x:v>Approved 75% utilization assumption applied to each approved 100% scenario benefit; no new assumption.</x:v>
      </x:c>
    </x:row>
    <x:row r="31">
      <x:c r="A31" s="2"/>
      <x:c r="B31" s="2"/>
      <x:c r="C31" s="2"/>
      <x:c r="D31" s="2"/>
      <x:c r="E31" s="2"/>
      <x:c r="F31" s="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667085"/>
  </x:sheetPr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4" hidden="0" customWidth="1"/>
    <x:col min="4" max="4" width="65" hidden="0" customWidth="1"/>
  </x:cols>
  <x:sheetData>
    <x:row r="1">
      <x:c r="A1" s="2"/>
      <x:c r="B1" s="2"/>
      <x:c r="C1" s="2"/>
      <x:c r="D1" s="2"/>
    </x:row>
    <x:row r="2" ht="24" customHeight="1">
      <x:c r="A2" s="4" t="str">
        <x:v>Final Workbook QA</x:v>
      </x:c>
      <x:c r="B2" s="5"/>
      <x:c r="C2" s="5"/>
      <x:c r="D2" s="5"/>
    </x:row>
    <x:row r="3" ht="20" customHeight="1">
      <x:c r="A3" s="6" t="str">
        <x:v>Data integrity, formula integrity, exhibit accuracy, interpretation and visual presentation</x:v>
      </x:c>
      <x:c r="B3" s="2"/>
      <x:c r="C3" s="2"/>
      <x:c r="D3" s="2"/>
    </x:row>
    <x:row r="4">
      <x:c r="A4" s="2"/>
      <x:c r="B4" s="2"/>
      <x:c r="C4" s="2"/>
      <x:c r="D4" s="2"/>
    </x:row>
    <x:row r="5">
      <x:c r="A5" s="2"/>
      <x:c r="B5" s="2"/>
      <x:c r="C5" s="2"/>
      <x:c r="D5" s="2"/>
    </x:row>
    <x:row r="6" ht="32" customHeight="1">
      <x:c r="A6" s="50" t="str">
        <x:v>Review Area</x:v>
      </x:c>
      <x:c r="B6" s="52" t="str">
        <x:v>Result</x:v>
      </x:c>
      <x:c r="C6" s="2"/>
      <x:c r="D6" s="2"/>
    </x:row>
    <x:row r="7" ht="23" customHeight="1">
      <x:c r="A7" s="53" t="str">
        <x:v>NTT historical data verified</x:v>
      </x:c>
      <x:c r="B7" s="485" t="str">
        <x:f>IF(AND(ABS('NTT Historical Data'!B7-79.8971681765725)&lt;0.0000001,ABS('NTT Historical Data'!B10-87.3381674651924)&lt;0.0000001,'NTT Historical Data'!G10&lt;&gt;""),"PASS","FAIL")</x:f>
        <x:v>PASS</x:v>
      </x:c>
      <x:c r="C7" s="2"/>
      <x:c r="D7" s="2"/>
    </x:row>
    <x:row r="8" ht="23" customHeight="1">
      <x:c r="A8" s="37" t="str">
        <x:v>Peer benchmark data verified</x:v>
      </x:c>
      <x:c r="B8" s="486" t="str">
        <x:f>IF(AND(ABS('Peer Benchmark Data'!B7-80.1055687535538)&lt;0.0000001,ABS('Peer Benchmark Data'!B12-57.2331937458758)&lt;0.0000001,ABS('Peer Benchmark Data'!D17-22.8723750076781)&lt;0.0000001),"PASS","FAIL")</x:f>
        <x:v>PASS</x:v>
      </x:c>
      <x:c r="C8" s="2"/>
      <x:c r="D8" s="2"/>
    </x:row>
    <x:row r="9" ht="23" customHeight="1">
      <x:c r="A9" s="37" t="str">
        <x:v>Opportunity data verified</x:v>
      </x:c>
      <x:c r="B9" s="486" t="str">
        <x:f>IF(AND(ABS('Opportunity Data'!C14-11.436187503839)&lt;0.0000001,ABS('Opportunity Data'!E14-152.746733424563)&lt;0.0000001,ABS('Opportunity Data'!F14-5.8689113722037)&lt;0.0000001),"PASS","FAIL")</x:f>
        <x:v>PASS</x:v>
      </x:c>
      <x:c r="C9" s="2"/>
      <x:c r="D9" s="2"/>
    </x:row>
    <x:row r="10" ht="23" customHeight="1">
      <x:c r="A10" s="37" t="str">
        <x:v>Exhibit 1 accurate</x:v>
      </x:c>
      <x:c r="B10" s="486" t="str">
        <x:v>PASS</x:v>
      </x:c>
      <x:c r="C10" s="2"/>
      <x:c r="D10" s="2"/>
    </x:row>
    <x:row r="11" ht="23" customHeight="1">
      <x:c r="A11" s="37" t="str">
        <x:v>Exhibit 2 accurate</x:v>
      </x:c>
      <x:c r="B11" s="486" t="str">
        <x:f>IF(ABS('Exhibit 2 - DSO Trend'!B36-'NTT Historical Data'!B10)&lt;0.0000001,"PASS","FAIL")</x:f>
        <x:v>PASS</x:v>
      </x:c>
      <x:c r="C11" s="2"/>
      <x:c r="D11" s="2"/>
    </x:row>
    <x:row r="12" ht="23" customHeight="1">
      <x:c r="A12" s="37" t="str">
        <x:v>Exhibit 3 accurate</x:v>
      </x:c>
      <x:c r="B12" s="486" t="str">
        <x:f>IF(AND(ABS('Exhibit 3 - Peer DSO'!B38-'Peer Benchmark Data'!B7)&lt;0.0000001,ABS('Exhibit 3 - Peer DSO'!D43-'Peer Benchmark Data'!B12)&lt;0.0000001),"PASS","FAIL")</x:f>
        <x:v>PASS</x:v>
      </x:c>
      <x:c r="C12" s="2"/>
      <x:c r="D12" s="2"/>
    </x:row>
    <x:row r="13" ht="23" customHeight="1">
      <x:c r="A13" s="37" t="str">
        <x:v>Exhibit 4 accurate</x:v>
      </x:c>
      <x:c r="B13" s="486" t="str">
        <x:f>IF(AND(ABS('Exhibit 4 - WC Context'!B7-'Peer Benchmark Data'!B17)&lt;0.0000001,ABS('Exhibit 4 - WC Context'!D11-'Peer Benchmark Data'!D21)&lt;0.0000001),"PASS","FAIL")</x:f>
        <x:v>PASS</x:v>
      </x:c>
      <x:c r="C13" s="2"/>
      <x:c r="D13" s="2"/>
    </x:row>
    <x:row r="14" ht="23" customHeight="1">
      <x:c r="A14" s="37" t="str">
        <x:v>Exhibit 5 accurate</x:v>
      </x:c>
      <x:c r="B14" s="486" t="str">
        <x:f>IF(AND(ABS('Exhibit 5 - DSO Scenarios'!C38-'Opportunity Data'!D14)&lt;0.0000001,ABS('Exhibit 5 - DSO Scenarios'!D40-'Opportunity Data'!D16)&lt;0.0000001),"PASS","FAIL")</x:f>
        <x:v>PASS</x:v>
      </x:c>
      <x:c r="C14" s="2"/>
      <x:c r="D14" s="2"/>
    </x:row>
    <x:row r="15" ht="23" customHeight="1">
      <x:c r="A15" s="37" t="str">
        <x:v>Exhibit 6 accurate</x:v>
      </x:c>
      <x:c r="B15" s="486" t="str">
        <x:f>IF(AND(ABS('Exhibit 6 - Opportunity'!B36-'Opportunity Data'!E14)&lt;0.0000001,ABS('Exhibit 6 - Opportunity'!C36-'Opportunity Data'!F14)&lt;0.0000001),"PASS","FAIL")</x:f>
        <x:v>PASS</x:v>
      </x:c>
      <x:c r="C15" s="2"/>
      <x:c r="D15" s="2"/>
    </x:row>
    <x:row r="16" ht="23" customHeight="1">
      <x:c r="A16" s="37" t="str">
        <x:v>Source traceability</x:v>
      </x:c>
      <x:c r="B16" s="486" t="str">
        <x:f>IF(COUNTIFS(Sources!A7:A30,"&lt;&gt;")=24,"PASS","FAIL")</x:f>
        <x:v>PASS</x:v>
      </x:c>
      <x:c r="C16" s="2"/>
      <x:c r="D16" s="2"/>
    </x:row>
    <x:row r="17" ht="23" customHeight="1">
      <x:c r="A17" s="37" t="str">
        <x:v>No unsupported causality</x:v>
      </x:c>
      <x:c r="B17" s="486" t="str">
        <x:v>PASS</x:v>
      </x:c>
      <x:c r="C17" s="2"/>
      <x:c r="D17" s="2"/>
    </x:row>
    <x:row r="18" ht="23" customHeight="1">
      <x:c r="A18" s="37" t="str">
        <x:v>No double counting</x:v>
      </x:c>
      <x:c r="B18" s="486" t="str">
        <x:v>PASS</x:v>
      </x:c>
      <x:c r="C18" s="2"/>
      <x:c r="D18" s="2"/>
    </x:row>
    <x:row r="19" ht="23" customHeight="1">
      <x:c r="A19" s="37" t="str">
        <x:v>Cash release vs profit distinction</x:v>
      </x:c>
      <x:c r="B19" s="486" t="str">
        <x:v>PASS</x:v>
      </x:c>
      <x:c r="C19" s="2"/>
      <x:c r="D19" s="2"/>
    </x:row>
    <x:row r="20" ht="23" customHeight="1">
      <x:c r="A20" s="37" t="str">
        <x:v>Formula-error scan</x:v>
      </x:c>
      <x:c r="B20" s="486" t="str">
        <x:v>PASS</x:v>
      </x:c>
      <x:c r="C20" s="2"/>
      <x:c r="D20" s="2"/>
    </x:row>
    <x:row r="21" ht="23" customHeight="1">
      <x:c r="A21" s="37" t="str">
        <x:v>Visual presentation</x:v>
      </x:c>
      <x:c r="B21" s="486" t="str">
        <x:v>PASS</x:v>
      </x:c>
      <x:c r="C21" s="2"/>
      <x:c r="D21" s="2"/>
    </x:row>
    <x:row r="22">
      <x:c r="A22" s="2"/>
      <x:c r="B22" s="2"/>
      <x:c r="C22" s="2"/>
      <x:c r="D22" s="2"/>
    </x:row>
    <x:row r="23">
      <x:c r="A23" s="2"/>
      <x:c r="B23" s="2"/>
      <x:c r="C23" s="2"/>
      <x:c r="D23" s="2"/>
    </x:row>
    <x:row r="24" ht="30" customHeight="1">
      <x:c r="A24" s="487" t="str">
        <x:v>Final status</x:v>
      </x:c>
      <x:c r="B24" s="488" t="str">
        <x:f>IF(COUNTIFS(B7:B21,"FAIL")=0,"ALL MATERIAL QA CHECKS PASSED","REVIEW REQUIRED")</x:f>
        <x:v>ALL MATERIAL QA CHECKS PASSED</x:v>
      </x:c>
      <x:c r="C24" s="488"/>
      <x:c r="D24" s="489"/>
    </x:row>
    <x:row r="25">
      <x:c r="A25" s="2"/>
      <x:c r="B25" s="2"/>
      <x:c r="C25" s="2"/>
      <x:c r="D25" s="2"/>
    </x:row>
    <x:row r="26">
      <x:c r="A26" s="497" t="str">
        <x:v>Review scope included source reconciliation, formula links, chart bindings, error scanning, scenario labels, FY2022 structural-break treatment, Full Convergence reference treatment, interpretation wording and rendered visual inspection of all 12 sheets.</x:v>
      </x:c>
      <x:c r="B26" s="498"/>
      <x:c r="C26" s="498"/>
      <x:c r="D26" s="499"/>
    </x:row>
    <x:row r="27">
      <x:c r="A27" s="500"/>
      <x:c r="B27" s="501"/>
      <x:c r="C27" s="501"/>
      <x:c r="D27" s="502"/>
    </x:row>
  </x:sheetData>
  <x:mergeCells>
    <x:mergeCell ref="B24:D24"/>
    <x:mergeCell ref="A26:D27"/>
  </x:mergeCells>
  <x:conditionalFormatting sqref="B7:B21">
    <x:cfRule type="containsText" dxfId="0" priority="1" operator="containsText" text="FAIL"/>
  </x:conditionalFormatting>
  <x:pageMargins left="0.7" right="0.7" top="0.75" bottom="0.75" header="0.3" footer="0.3"/>
</x:worksheet>
</file>