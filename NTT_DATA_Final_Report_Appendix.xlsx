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ln07\Downloads\"/>
    </mc:Choice>
  </mc:AlternateContent>
  <xr:revisionPtr revIDLastSave="0" documentId="8_{FF02CD19-65C7-4A2B-9DAB-3332B3710B38}" xr6:coauthVersionLast="47" xr6:coauthVersionMax="47" xr10:uidLastSave="{00000000-0000-0000-0000-000000000000}"/>
  <bookViews>
    <workbookView xWindow="-110" yWindow="-110" windowWidth="23260" windowHeight="14860" firstSheet="2" activeTab="5" xr2:uid="{00000000-000D-0000-FFFF-FFFF00000000}"/>
  </bookViews>
  <sheets>
    <sheet name="A1 - Formula Library" sheetId="2" r:id="rId1"/>
    <sheet name="A2 - Excel Implementation" sheetId="3" r:id="rId2"/>
    <sheet name="A3 - Peer Comparability" sheetId="4" r:id="rId3"/>
    <sheet name="A4 - Normalization Rules" sheetId="5" r:id="rId4"/>
    <sheet name="A5 - NTT Historical Data" sheetId="6" r:id="rId5"/>
    <sheet name="A6 - Peer Benchmark Detail" sheetId="7" r:id="rId6"/>
    <sheet name="A7 - Opportunity Bridge" sheetId="8" r:id="rId7"/>
    <sheet name="A8 - Sources" sheetId="9" r:id="rId8"/>
    <sheet name="A9 - QA" sheetId="10" r:id="rId9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0" l="1"/>
  <c r="C23" i="10"/>
  <c r="C19" i="10"/>
  <c r="C18" i="10"/>
  <c r="C12" i="10"/>
  <c r="C11" i="10"/>
  <c r="C8" i="10"/>
  <c r="A4" i="10"/>
  <c r="E2" i="10"/>
  <c r="J2" i="9"/>
  <c r="C36" i="8"/>
  <c r="E36" i="8" s="1"/>
  <c r="C35" i="8"/>
  <c r="E35" i="8" s="1"/>
  <c r="K11" i="8"/>
  <c r="K13" i="8" s="1"/>
  <c r="E11" i="8"/>
  <c r="C33" i="8" s="1"/>
  <c r="E9" i="8"/>
  <c r="E7" i="8"/>
  <c r="D35" i="8" s="1"/>
  <c r="A4" i="8"/>
  <c r="M2" i="8"/>
  <c r="A4" i="7"/>
  <c r="J2" i="7"/>
  <c r="A4" i="6"/>
  <c r="M2" i="6"/>
  <c r="A4" i="5"/>
  <c r="F2" i="5"/>
  <c r="A4" i="4"/>
  <c r="H2" i="4"/>
  <c r="A4" i="3"/>
  <c r="G2" i="3"/>
  <c r="A4" i="2"/>
  <c r="I2" i="2"/>
  <c r="D33" i="8" l="1"/>
  <c r="E33" i="8"/>
  <c r="F33" i="8" s="1"/>
  <c r="E23" i="8"/>
  <c r="C16" i="10"/>
  <c r="F35" i="8"/>
  <c r="F36" i="8"/>
  <c r="D36" i="8"/>
  <c r="C13" i="10"/>
  <c r="E15" i="8"/>
  <c r="E21" i="8" s="1"/>
  <c r="C34" i="8"/>
  <c r="E25" i="8" l="1"/>
  <c r="E34" i="8"/>
  <c r="C14" i="10"/>
  <c r="C7" i="10"/>
  <c r="D34" i="8"/>
  <c r="E17" i="8"/>
  <c r="F34" i="8" l="1"/>
  <c r="C17" i="10" s="1"/>
  <c r="C15" i="10"/>
  <c r="E27" i="8"/>
</calcChain>
</file>

<file path=xl/sharedStrings.xml><?xml version="1.0" encoding="utf-8"?>
<sst xmlns="http://schemas.openxmlformats.org/spreadsheetml/2006/main" count="1222" uniqueCount="666">
  <si>
    <t>Peer Benchmark</t>
  </si>
  <si>
    <t>A1 — Formula Library</t>
  </si>
  <si>
    <t>Definitions and interpretation of every core working-capital and opportunity-sizing calculation</t>
  </si>
  <si>
    <t>Category</t>
  </si>
  <si>
    <t>Metric</t>
  </si>
  <si>
    <t>Formula</t>
  </si>
  <si>
    <t>Purpose</t>
  </si>
  <si>
    <t>Interpretation</t>
  </si>
  <si>
    <t>Balance convention</t>
  </si>
  <si>
    <t>Average Balance</t>
  </si>
  <si>
    <t>(Opening Balance + Closing Balance) ÷ 2</t>
  </si>
  <si>
    <t>Used for days-based working-capital metrics.</t>
  </si>
  <si>
    <t>Smooths period-end movements when both endpoints exist.</t>
  </si>
  <si>
    <t>Receivables</t>
  </si>
  <si>
    <t>DSO</t>
  </si>
  <si>
    <t>Average Trade Receivables ÷ Revenue × 365</t>
  </si>
  <si>
    <t>Measures receivables intensity.</t>
  </si>
  <si>
    <t>Days of Revenue represented by outstanding Trade Receivables.</t>
  </si>
  <si>
    <t>Project working capital</t>
  </si>
  <si>
    <t>Contract Asset Days</t>
  </si>
  <si>
    <t>Average Contract Assets ÷ Revenue × 365</t>
  </si>
  <si>
    <t>Measures unbilled/project-stage capital absorption.</t>
  </si>
  <si>
    <t>Lower is generally favorable, subject to business mix.</t>
  </si>
  <si>
    <t>Inventory</t>
  </si>
  <si>
    <t>DIO</t>
  </si>
  <si>
    <t>Average Inventory ÷ Cost of Sales × 365</t>
  </si>
  <si>
    <t>Measures inventory holding period.</t>
  </si>
  <si>
    <t>Used only where inventory and cost base are comparable.</t>
  </si>
  <si>
    <t>Payables</t>
  </si>
  <si>
    <t>DPO</t>
  </si>
  <si>
    <t>Average Trade Payables ÷ Cost of Sales × 365</t>
  </si>
  <si>
    <t>Measures supplier funding.</t>
  </si>
  <si>
    <t>Higher days indicate more supplier financing, within sustainable terms.</t>
  </si>
  <si>
    <t>Customer funding</t>
  </si>
  <si>
    <t>Contract Liability Days</t>
  </si>
  <si>
    <t>Average Contract Liabilities ÷ Revenue × 365</t>
  </si>
  <si>
    <t>Measures advance customer funding.</t>
  </si>
  <si>
    <t>Higher days indicate more customer funding, subject to contract mix.</t>
  </si>
  <si>
    <t>Cycle</t>
  </si>
  <si>
    <t>Traditional CCC</t>
  </si>
  <si>
    <t>DSO + DIO − DPO</t>
  </si>
  <si>
    <t>Conventional operating-cycle measure.</t>
  </si>
  <si>
    <t>Comparable only where DSO, DIO and DPO are all valid.</t>
  </si>
  <si>
    <t>Adjusted CCC</t>
  </si>
  <si>
    <t>DSO + Contract Asset Days + DIO − DPO − Contract Liability Days</t>
  </si>
  <si>
    <t>Adds project-stage capital absorption and customer funding.</t>
  </si>
  <si>
    <t>Captures contract-asset and contract-liability economics.</t>
  </si>
  <si>
    <t>Balance sheet</t>
  </si>
  <si>
    <t>Operating Working Capital</t>
  </si>
  <si>
    <t>Trade Receivables + Contract Assets + Inventory − Trade Payables − Contract Liabilities</t>
  </si>
  <si>
    <t>Measures net operating funding tied up.</t>
  </si>
  <si>
    <t>Uses closing balances—not average balances.</t>
  </si>
  <si>
    <t>OWC / Revenue</t>
  </si>
  <si>
    <t>Operating Working Capital ÷ Revenue</t>
  </si>
  <si>
    <t>Scales OWC to company activity.</t>
  </si>
  <si>
    <t>TCS reference only in the approved peer framework.</t>
  </si>
  <si>
    <t>Cash conversion</t>
  </si>
  <si>
    <t>Standardized EBITDA</t>
  </si>
  <si>
    <t>Operating Profit + Depreciation + Amortization</t>
  </si>
  <si>
    <t>Creates a consistent denominator.</t>
  </si>
  <si>
    <t>Official EBITDA KPIs are reference only where definitions differ.</t>
  </si>
  <si>
    <t>CFO / Standardized EBITDA</t>
  </si>
  <si>
    <t>Operating Cash Flow ÷ Standardized EBITDA</t>
  </si>
  <si>
    <t>Primary cash-conversion ratio.</t>
  </si>
  <si>
    <t>Broadly near peers in the approved conclusion.</t>
  </si>
  <si>
    <t>CFO / Operating Profit</t>
  </si>
  <si>
    <t>Operating Cash Flow ÷ Operating Profit</t>
  </si>
  <si>
    <t>Supporting cash-conversion measure.</t>
  </si>
  <si>
    <t>Sensitive to accounting mix and working-capital timing.</t>
  </si>
  <si>
    <t>CFO / Net Income</t>
  </si>
  <si>
    <t>Operating Cash Flow ÷ Net Income</t>
  </si>
  <si>
    <t>Use with attribution-basis caution.</t>
  </si>
  <si>
    <t>Opportunity</t>
  </si>
  <si>
    <t>DSO Gap</t>
  </si>
  <si>
    <t>NTT DATA Baseline DSO − Peer Median DSO</t>
  </si>
  <si>
    <t>Defines observed peer-relative gap.</t>
  </si>
  <si>
    <t>22.8724 days in the approved Phase 4 analysis.</t>
  </si>
  <si>
    <t>DSO Improvement</t>
  </si>
  <si>
    <t>DSO Gap × Gap Closure %</t>
  </si>
  <si>
    <t>Translates scenario into days.</t>
  </si>
  <si>
    <t>Base scenario closes 50% of the observed gap.</t>
  </si>
  <si>
    <t>Resulting DSO</t>
  </si>
  <si>
    <t>Baseline DSO − DSO Improvement</t>
  </si>
  <si>
    <t>Shows scenario outcome.</t>
  </si>
  <si>
    <t>Base result is approximately 68.7 days.</t>
  </si>
  <si>
    <t>Implied Receivables</t>
  </si>
  <si>
    <t>Revenue × DSO ÷ 365</t>
  </si>
  <si>
    <t>Converts DSO into a receivables balance.</t>
  </si>
  <si>
    <t>Consistent Revenue and DSO basis required.</t>
  </si>
  <si>
    <t>Cash Release</t>
  </si>
  <si>
    <t>Revenue × DSO Improvement ÷ 365</t>
  </si>
  <si>
    <t>Quantifies one-time balance-sheet release.</t>
  </si>
  <si>
    <t>Not profit and not additive to financing benefit.</t>
  </si>
  <si>
    <t>Financing</t>
  </si>
  <si>
    <t>Average Interest-Bearing Debt</t>
  </si>
  <si>
    <t>(Opening Debt + Closing Debt) ÷ 2</t>
  </si>
  <si>
    <t>Denominator for historical financing-cost proxy.</t>
  </si>
  <si>
    <t>Uses approved Phase 4 debt inputs.</t>
  </si>
  <si>
    <t>Historical Effective Financing Cost</t>
  </si>
  <si>
    <t>Interest Expense ÷ Average Interest-Bearing Debt</t>
  </si>
  <si>
    <t>Estimates historical financing-cost proxy.</t>
  </si>
  <si>
    <t>3.84225% approved proxy; not a forecast rate.</t>
  </si>
  <si>
    <t>Annual Financing Benefit</t>
  </si>
  <si>
    <t>Cash Release × Financing Cost</t>
  </si>
  <si>
    <t>Calculates potential recurring pre-tax benefit.</t>
  </si>
  <si>
    <t>Requires maintained lower financing need and 100% utilization.</t>
  </si>
  <si>
    <t>Realized Financing Benefit</t>
  </si>
  <si>
    <t>Cash Release × Financing Cost × Financing Utilization</t>
  </si>
  <si>
    <t>Sensitivity for less-than-full utilization.</t>
  </si>
  <si>
    <t>75% reference is approximately ¥4.4bn/year.</t>
  </si>
  <si>
    <t>Important distinction: Cash release is a one-time balance-sheet effect; financing benefit is a potential recurring pre-tax effect if the lower financing requirement is maintained. No separate monetization of CCC, Adjusted CCC or OWC is included, avoiding double counting of the receivables opportunity.</t>
  </si>
  <si>
    <t>A2 — Excel Implementation</t>
  </si>
  <si>
    <t>Representative spreadsheet logic and audited function usage in the approved source workbooks</t>
  </si>
  <si>
    <t>Calculation</t>
  </si>
  <si>
    <t>Financial Logic</t>
  </si>
  <si>
    <t>Notes</t>
  </si>
  <si>
    <t>Average balance</t>
  </si>
  <si>
    <t>Mean of opening and closing balances</t>
  </si>
  <si>
    <t>Applied only when both endpoints are numeric.</t>
  </si>
  <si>
    <t>Average AR ÷ Revenue × 365</t>
  </si>
  <si>
    <t>Unavailable inputs remain N/A; no estimate.</t>
  </si>
  <si>
    <t>Average contract assets ÷ Revenue × 365</t>
  </si>
  <si>
    <t>Same day-count convention as DSO.</t>
  </si>
  <si>
    <t>Average inventory ÷ cost base × 365</t>
  </si>
  <si>
    <t>Peer benchmark limited to TCS.</t>
  </si>
  <si>
    <t>Average pure trade payables ÷ cost base × 365</t>
  </si>
  <si>
    <t>CGI excluded because pure AP cannot be isolated.</t>
  </si>
  <si>
    <t>Average contract liabilities ÷ Revenue × 365</t>
  </si>
  <si>
    <t>Current and non-current components combined where appropriate.</t>
  </si>
  <si>
    <t>Requires all three eligible inputs.</t>
  </si>
  <si>
    <t>DSO + CA Days + DIO − DPO − CL Days</t>
  </si>
  <si>
    <t>TCS reference only in peer work.</t>
  </si>
  <si>
    <t>Closing AR + CA + inventory − AP − CL</t>
  </si>
  <si>
    <t>Uses closing balances, not averages.</t>
  </si>
  <si>
    <t>OWC ÷ Revenue</t>
  </si>
  <si>
    <t>Unavailable inputs stay N/A.</t>
  </si>
  <si>
    <t>Operating profit + D&amp;A</t>
  </si>
  <si>
    <t>D&amp;A is consistently assembled from available components.</t>
  </si>
  <si>
    <t>CFO ÷ standardized EBITDA</t>
  </si>
  <si>
    <t>Primary conversion ratio.</t>
  </si>
  <si>
    <t>Company median</t>
  </si>
  <si>
    <t>Median of clean annual observations</t>
  </si>
  <si>
    <t>Structural/unavailable years are excluded first.</t>
  </si>
  <si>
    <t>Peer median</t>
  </si>
  <si>
    <t>Median of peer-company medians</t>
  </si>
  <si>
    <t>Each company receives equal weight.</t>
  </si>
  <si>
    <t>DSO gap</t>
  </si>
  <si>
    <t>NTT median − peer median</t>
  </si>
  <si>
    <t>Positive values indicate longer NTT collection time.</t>
  </si>
  <si>
    <t>Scenario improvement</t>
  </si>
  <si>
    <t>Gap × closure percentage</t>
  </si>
  <si>
    <t>Base uses 50% closure.</t>
  </si>
  <si>
    <t>Baseline − improvement</t>
  </si>
  <si>
    <t>Full convergence is reference only.</t>
  </si>
  <si>
    <t>Cash release</t>
  </si>
  <si>
    <t>Revenue × improvement ÷ 365</t>
  </si>
  <si>
    <t>Revenue and cash release shown in ¥bn.</t>
  </si>
  <si>
    <t>Financing cost</t>
  </si>
  <si>
    <t>Interest expense ÷ average debt</t>
  </si>
  <si>
    <t>Historical proxy from approved FY2024 inputs.</t>
  </si>
  <si>
    <t>Financing benefit</t>
  </si>
  <si>
    <t>Cash release × financing rate</t>
  </si>
  <si>
    <t>Potential annual pre-tax reference.</t>
  </si>
  <si>
    <t>Utilization sensitivity</t>
  </si>
  <si>
    <t>Benefit × utilization</t>
  </si>
  <si>
    <t>75% realization reference only.</t>
  </si>
  <si>
    <t>Reason</t>
  </si>
  <si>
    <t>A3 — Peer Comparability</t>
  </si>
  <si>
    <t>Final approved metric-by-metric peer eligibility; single-peer references are not industry medians</t>
  </si>
  <si>
    <t>Accenture</t>
  </si>
  <si>
    <t>Capgemini</t>
  </si>
  <si>
    <t>CGI</t>
  </si>
  <si>
    <t>TCS</t>
  </si>
  <si>
    <t>Benchmark Type</t>
  </si>
  <si>
    <t>✓</t>
  </si>
  <si>
    <t>Multi-peer benchmark</t>
  </si>
  <si>
    <t>All four peers usable.</t>
  </si>
  <si>
    <t>All four peers usable; company-specific mapping rules applied.</t>
  </si>
  <si>
    <t>—</t>
  </si>
  <si>
    <t>△</t>
  </si>
  <si>
    <t>Single-peer reference</t>
  </si>
  <si>
    <t>TCS only; not labeled an industry median.</t>
  </si>
  <si>
    <t>CGI unavailable because pure Trade Payables cannot be isolated.</t>
  </si>
  <si>
    <t>TCS reference only because full component eligibility is required.</t>
  </si>
  <si>
    <t>TCS reference only.</t>
  </si>
  <si>
    <t>All four peers usable; attribution-basis caution retained.</t>
  </si>
  <si>
    <t>LEGEND AND BENCHMARK DISCIPLINE</t>
  </si>
  <si>
    <t>✓ Comparable</t>
  </si>
  <si>
    <t>Approved for the stated metric and benchmark method.</t>
  </si>
  <si>
    <t>△ Comparable with adjustment</t>
  </si>
  <si>
    <t>Valid only in the limited TCS-only context shown; used as a single-peer reference.</t>
  </si>
  <si>
    <t>— Not comparable / unavailable</t>
  </si>
  <si>
    <t>Excluded for that metric; no value is estimated.</t>
  </si>
  <si>
    <t>A4 — Normalization Rules</t>
  </si>
  <si>
    <t>Material accounting, scope and availability treatments preserved from the approved comparability framework</t>
  </si>
  <si>
    <t>Company</t>
  </si>
  <si>
    <t>Raw Disclosure Issue</t>
  </si>
  <si>
    <t>Normalized Treatment</t>
  </si>
  <si>
    <t>Metrics Affected</t>
  </si>
  <si>
    <t>Billed AR, unbilled trade AR and true Contract Assets are separately disclosed.</t>
  </si>
  <si>
    <t>Normalized Trade Receivables = billed AR + unbilled trade AR; true Contract Assets remain separate.</t>
  </si>
  <si>
    <t>DSO; Contract Asset Days; CCC; OWC / Revenue</t>
  </si>
  <si>
    <t>Prevents unbilled trade receivables from being misclassified as Contract Assets.</t>
  </si>
  <si>
    <t>Inventory is the only peer inventory series sufficiently comparable for the final framework.</t>
  </si>
  <si>
    <t>Retain TCS for DIO; treat DIO, CCC, Adjusted CCC and OWC / Revenue as single-peer references.</t>
  </si>
  <si>
    <t>DIO; Traditional CCC; Adjusted CCC; OWC / Revenue</t>
  </si>
  <si>
    <t>Avoids presenting a TCS-only reference as an industry median.</t>
  </si>
  <si>
    <t>Pure Trade Payables and a compatible direct cost base cannot be isolated from broader payables/accruals.</t>
  </si>
  <si>
    <t>Set CGI DPO, CCC and OWC-based metrics to N/A; do not estimate pure Trade Payables.</t>
  </si>
  <si>
    <t>DPO; Traditional CCC; Adjusted CCC; OWC / Revenue</t>
  </si>
  <si>
    <t>Preserves denominator and balance-sheet purity.</t>
  </si>
  <si>
    <t>WNS transaction changes comparability in FY2025.</t>
  </si>
  <si>
    <t>Exclude FY2025 from clean turnover metrics where required; use the approved clean window through FY2024.</t>
  </si>
  <si>
    <t>DSO; Contract Asset Days; DPO; Contract Liability Days; cash conversion</t>
  </si>
  <si>
    <t>Avoids mixing a structural transaction with operating trend.</t>
  </si>
  <si>
    <t>Acquisition-heavy periods and component disclosures require cautious aggregation.</t>
  </si>
  <si>
    <t>Use approved clean history through FY2025; combine current and non-current Contract Assets and deferred revenue where disclosed.</t>
  </si>
  <si>
    <t>Contract Asset Days; Contract Liability Days; cash conversion</t>
  </si>
  <si>
    <t>Keeps the balance definitions complete and consistent.</t>
  </si>
  <si>
    <t>NTT DATA</t>
  </si>
  <si>
    <t>JGAAP applies through FY2017; IFRS applies from FY2018.</t>
  </si>
  <si>
    <t>Use IFRS-based analytical history from FY2018 for the final peer work; retain earlier periods only in underlying source files.</t>
  </si>
  <si>
    <t>All historical metrics</t>
  </si>
  <si>
    <t>Avoids mixing accounting regimes in the final benchmark window.</t>
  </si>
  <si>
    <t>FY2019 includes IFRS 16 context.</t>
  </si>
  <si>
    <t>Retain FY2019 in approved clean periods; disclose context rather than excluding the year.</t>
  </si>
  <si>
    <t>All available FY2019 metrics</t>
  </si>
  <si>
    <t>Matches the final Phase 3 clean-window decision.</t>
  </si>
  <si>
    <t>NTT Ltd. was consolidated during FY2022.</t>
  </si>
  <si>
    <t>Flag FY2022 as a structural break and exclude it from clean-period summaries.</t>
  </si>
  <si>
    <t>All FY2022 metrics</t>
  </si>
  <si>
    <t>Prevents consolidation effects from distorting the baseline.</t>
  </si>
  <si>
    <t>Pure AR/AP are unavailable for FY2024 and FY2025; several FY2025 inputs are also unavailable.</t>
  </si>
  <si>
    <t>Report affected metrics as N/A; do not estimate AR, AP, CA, CL, CFO or D&amp;A.</t>
  </si>
  <si>
    <t>DSO; DPO; CCC; Adjusted CCC; OWC / Revenue; CFO / Std EBITDA</t>
  </si>
  <si>
    <t>Preserves source integrity.</t>
  </si>
  <si>
    <t>FY2025 Revenue requires the approved opportunity-sizing normalization.</t>
  </si>
  <si>
    <t>Use normalized FY2025 Revenue of ¥4,875.1bn only in the Phase 4 DSO opportunity calculation.</t>
  </si>
  <si>
    <t>Cash release and financing benefit</t>
  </si>
  <si>
    <t>Does not create a new historical turnover observation.</t>
  </si>
  <si>
    <t>All companies</t>
  </si>
  <si>
    <t>Original reporting currencies and fiscal labels differ.</t>
  </si>
  <si>
    <t>Retain each company's source currency and unit; calculate ratios within company; do not convert currency for day/ratio metrics.</t>
  </si>
  <si>
    <t>All peer metrics</t>
  </si>
  <si>
    <t>Ratios are dimensionless; unnecessary FX conversion could add noise.</t>
  </si>
  <si>
    <t>Days metrics require opening and closing balances.</t>
  </si>
  <si>
    <t>Use average balance only when both endpoints are available; otherwise return N/A—no invented opening balance.</t>
  </si>
  <si>
    <t>DSO; Contract Asset Days; DIO; DPO; Contract Liability Days</t>
  </si>
  <si>
    <t>Maintains consistent measurement and avoids unsupported estimates.</t>
  </si>
  <si>
    <t>Scope discipline: no new estimates, peers, scenarios, currencies, fiscal periods, targets or accounting reclassifications have been added. Missing or non-comparable items remain N/A. Structural events are flagged rather than normalized away.</t>
  </si>
  <si>
    <t>A5 — NTT Historical Data</t>
  </si>
  <si>
    <t>Approved FY2018–FY2025 working-capital and cash-conversion dataset; unavailable values are never estimated</t>
  </si>
  <si>
    <t>FY</t>
  </si>
  <si>
    <t>CFO / Std EBITDA</t>
  </si>
  <si>
    <t>Structural Note</t>
  </si>
  <si>
    <t>FY2018</t>
  </si>
  <si>
    <t>N/A</t>
  </si>
  <si>
    <t>IFRS basis from this period; clean observation where available.</t>
  </si>
  <si>
    <t>FY2019</t>
  </si>
  <si>
    <t>IFRS 16 context; retained in approved clean periods.</t>
  </si>
  <si>
    <t>FY2020</t>
  </si>
  <si>
    <t>Clean observation.</t>
  </si>
  <si>
    <t>FY2021</t>
  </si>
  <si>
    <t>FY2022</t>
  </si>
  <si>
    <t>FY2022 — Structural Break: NTT Ltd. consolidated during the year; excluded from clean summaries.</t>
  </si>
  <si>
    <t>FY2023</t>
  </si>
  <si>
    <t>Clean observation; latest clean DSO and DPO.</t>
  </si>
  <si>
    <t>FY2024</t>
  </si>
  <si>
    <t>Data-center transaction caution; pure AR/AP unavailable; no estimate.</t>
  </si>
  <si>
    <t>FY2025</t>
  </si>
  <si>
    <t>Data-center caution; AR/AP/CA/CL/CFO/D&amp;A unavailable; Revenue normalized only for opportunity sizing.</t>
  </si>
  <si>
    <t>APPROVED CLEAN-PERIOD SUMMARY STATISTICS</t>
  </si>
  <si>
    <t>Latest Clean</t>
  </si>
  <si>
    <t>Clean Mean</t>
  </si>
  <si>
    <t>Clean Median</t>
  </si>
  <si>
    <t>Minimum</t>
  </si>
  <si>
    <t>Maximum</t>
  </si>
  <si>
    <t>Valid Observations</t>
  </si>
  <si>
    <t>Clean-period statistics reproduce the approved Phase 3 company summary. FY2022 is excluded as a structural break; availability windows vary by metric and no missing metric is replaced with zero.</t>
  </si>
  <si>
    <t>A6 — Peer Benchmark Detail</t>
  </si>
  <si>
    <t>Each peer is first summarized over its approved clean period; the benchmark is then the median of peer-company medians</t>
  </si>
  <si>
    <t>N</t>
  </si>
  <si>
    <t>Clean Window / Basis</t>
  </si>
  <si>
    <t>FY2019–FY2023</t>
  </si>
  <si>
    <t>FY2021–FY2025</t>
  </si>
  <si>
    <t>FY2020–FY2024</t>
  </si>
  <si>
    <t>FY2022–FY2026</t>
  </si>
  <si>
    <t>Peer Median</t>
  </si>
  <si>
    <t>Peer-company medians</t>
  </si>
  <si>
    <t>FY2018–FY2024</t>
  </si>
  <si>
    <t>Unavailable</t>
  </si>
  <si>
    <t>Benchmark method: (1) calculate each peer's clean-period median; (2) take the cross-sectional median of those peer-company medians. This gives each peer equal weight, regardless of the number of available annual observations.</t>
  </si>
  <si>
    <t>Gap</t>
  </si>
  <si>
    <t>Clearest peer-relative weakness; NTT collection cycle is longer.</t>
  </si>
  <si>
    <t>Relatively favorable versus peers.</t>
  </si>
  <si>
    <t>Modest supplier-funding advantage.</t>
  </si>
  <si>
    <t>Significant customer-funding advantage.</t>
  </si>
  <si>
    <t>Broadly near peers; approximately 2.0 percentage points lower.</t>
  </si>
  <si>
    <t>A7 — Opportunity Bridge</t>
  </si>
  <si>
    <t>Approved Phase 4 DSO-gap closure, cash-release and financing-benefit calculation</t>
  </si>
  <si>
    <t>BASE-CASE CALCULATION CHAIN</t>
  </si>
  <si>
    <t>APPROVED FINANCING-RATE INPUTS</t>
  </si>
  <si>
    <t>NTT DATA Baseline DSO</t>
  </si>
  <si>
    <t>Input</t>
  </si>
  <si>
    <t>Value</t>
  </si>
  <si>
    <t>Unit</t>
  </si>
  <si>
    <t>Source</t>
  </si>
  <si>
    <t>↓</t>
  </si>
  <si>
    <t>Interest expense</t>
  </si>
  <si>
    <t>¥m</t>
  </si>
  <si>
    <t>Phase 4 — S3 Assumptions</t>
  </si>
  <si>
    <t>Peer Median DSO</t>
  </si>
  <si>
    <t>Opening interest-bearing debt</t>
  </si>
  <si>
    <t>Closing interest-bearing debt</t>
  </si>
  <si>
    <t>Observed Gap</t>
  </si>
  <si>
    <t>Average debt</t>
  </si>
  <si>
    <t>AVERAGE(opening, closing)</t>
  </si>
  <si>
    <t>Base Gap Closure</t>
  </si>
  <si>
    <t>Historical financing-cost proxy</t>
  </si>
  <si>
    <t>Approved normalized FY2025 Revenue</t>
  </si>
  <si>
    <t>¥bn</t>
  </si>
  <si>
    <t>Phase 4 opportunity input</t>
  </si>
  <si>
    <t>Normalized FY2025 Revenue (¥bn)</t>
  </si>
  <si>
    <t>Potential Cash Release (¥bn)</t>
  </si>
  <si>
    <t>Historical Financing-Cost Proxy</t>
  </si>
  <si>
    <t>Potential Annual Pre-Tax Financing Benefit (¥bn/year) — 100% utilization</t>
  </si>
  <si>
    <t>75% Financing-Utilization Reference (¥bn/year)</t>
  </si>
  <si>
    <t>APPROVED DSO OPPORTUNITY SCENARIOS</t>
  </si>
  <si>
    <t>Scenario</t>
  </si>
  <si>
    <t>Gap Closed</t>
  </si>
  <si>
    <t>Cash Release (¥bn)</t>
  </si>
  <si>
    <t>Financing Benefit — 100% Utilization (¥bn/year)</t>
  </si>
  <si>
    <t>Conservative</t>
  </si>
  <si>
    <t>Base</t>
  </si>
  <si>
    <t>Upside</t>
  </si>
  <si>
    <t>Full Convergence — Reference Only</t>
  </si>
  <si>
    <t>WARNING — ¥152.7bn is a one-time balance-sheet cash release and should not be added to the annual financing benefit. The ¥5.9bn/year figure is a potential recurring pre-tax benefit at 100% financing utilization; approximately ¥4.4bn/year is the 75% utilization reference. Full convergence is reference only.</t>
  </si>
  <si>
    <t>A8 — Sources</t>
  </si>
  <si>
    <t>Consolidated source register preserving approved document titles, fiscal years, locations, URLs and supported workbook metrics</t>
  </si>
  <si>
    <t>ID</t>
  </si>
  <si>
    <t>Metric / Data Item</t>
  </si>
  <si>
    <t>Fiscal Year</t>
  </si>
  <si>
    <t>Source Document</t>
  </si>
  <si>
    <t>Source Location / Page</t>
  </si>
  <si>
    <t>Source URL if available</t>
  </si>
  <si>
    <t>Used In</t>
  </si>
  <si>
    <t>NTT-S01</t>
  </si>
  <si>
    <t>All NTT historical inputs and updates</t>
  </si>
  <si>
    <t>FY2015–FY2026</t>
  </si>
  <si>
    <t>NTT DATA Data Tables</t>
  </si>
  <si>
    <t>Data Tables page</t>
  </si>
  <si>
    <t>https://www.nttdata.com/global/en/investors/performance/fb</t>
  </si>
  <si>
    <t>A4; A5; A6; A7</t>
  </si>
  <si>
    <t>Official IR data archive | Official IR | JGAAP through FY2017; IFRS from FY2018; updated after results.</t>
  </si>
  <si>
    <t>NTT-S02</t>
  </si>
  <si>
    <t>FY2015–FY2016 financial inputs</t>
  </si>
  <si>
    <t>FY2015–FY2016</t>
  </si>
  <si>
    <t>Annual Report 2017</t>
  </si>
  <si>
    <t>Financial statements / notes</t>
  </si>
  <si>
    <t>https://www.nttdata.com/global/en/-/media/nttdataglobal/files/investors/inv004_financials/annual-report/fy2017_ar_b.pdf?rev=b1cb8171510c438d93f85170ef462b95</t>
  </si>
  <si>
    <t>Annual report / audited financial statements | Audited | Primary source for FY2015 and FY2016 JGAAP.</t>
  </si>
  <si>
    <t>NTT-S03</t>
  </si>
  <si>
    <t>FY2016–FY2017 financial inputs</t>
  </si>
  <si>
    <t>FY2016–FY2017</t>
  </si>
  <si>
    <t>Annual Report 2018</t>
  </si>
  <si>
    <t>Financial Information; historical highlights</t>
  </si>
  <si>
    <t>https://www.nttdata.com/global/en/-/media/nttdataglobal/files/investors/inv004_financials/annual-report/fy2018_ar_b.pdf?rev=6133c7d3db8942d8a5b0c640965b5fed</t>
  </si>
  <si>
    <t>Annual report / audited financial statements | Audited | Primary source for FY2016–FY2017 JGAAP and historical KPI values.</t>
  </si>
  <si>
    <t>NTT-S04</t>
  </si>
  <si>
    <t>Historical KPIs and structural context</t>
  </si>
  <si>
    <t>FY2017–FY2022</t>
  </si>
  <si>
    <t>Integrated Report 2022</t>
  </si>
  <si>
    <t>Historical financial / non-financial data</t>
  </si>
  <si>
    <t>https://www.nttdata.com/global/en/-/media/nttdataglobal/1_files/investors/integrated-report/fy2022_ar_b.pdf</t>
  </si>
  <si>
    <t>Integrated report / historical financial data | Audited financial data + management report | Orders, backlog, capex, EBITDA, overseas sales and rating history.</t>
  </si>
  <si>
    <t>NTT-S05</t>
  </si>
  <si>
    <t>FY2018 financial and working-capital inputs</t>
  </si>
  <si>
    <t>Integrated Report / Annual Report 2019</t>
  </si>
  <si>
    <t>Consolidated statements / notes</t>
  </si>
  <si>
    <t>https://www.nttdata.com/global/en/-/media/nttdataglobal/1_files/investors/integrated-report/fy2019_ar_b.pdf?rev=cf6cd677f4d3420094b591b4c92b6af4</t>
  </si>
  <si>
    <t>Audited IFRS report | Audited | IFRS statement-of-position and working-capital breakdown.</t>
  </si>
  <si>
    <t>NTT-S06</t>
  </si>
  <si>
    <t>FY2019 financial inputs</t>
  </si>
  <si>
    <t>FY2019 Financial Results</t>
  </si>
  <si>
    <t>Consolidated statements</t>
  </si>
  <si>
    <t>https://www.nttdata.com/global/en/-/media/nttdataglobal/1_files/investors/financial-results/2019/fy2019_fs_4q_01.pdf</t>
  </si>
  <si>
    <t>Kessan Tanshin / final results | Official; Kessan Tanshin | FY2019 income and balance data.</t>
  </si>
  <si>
    <t>NTT-S07</t>
  </si>
  <si>
    <t>FY2020 financial and working-capital inputs</t>
  </si>
  <si>
    <t>Integrated Report 2020</t>
  </si>
  <si>
    <t>Financial statements / management resources</t>
  </si>
  <si>
    <t>https://www.nttdata.com/global/en/-/media/nttdataglobal/1_files/investors/integrated-report/fy2020_ar_b.pdf?rev=3eb817c598a641959792e94610b81324</t>
  </si>
  <si>
    <t>Audited IFRS report | Audited | FY2020 IFRS and rating information.</t>
  </si>
  <si>
    <t>NTT-S08</t>
  </si>
  <si>
    <t>FY2021 financial and working-capital inputs</t>
  </si>
  <si>
    <t>Integrated Report 2021</t>
  </si>
  <si>
    <t>https://www.nttdata.com/global/en/-/media/nttdataglobal/1_files/investors/integrated-report/fy2021_ar_b.pdf?rev=7b868a5c0f1a4c50b7eb6bce7f4c80e1</t>
  </si>
  <si>
    <t>Audited IFRS report | Audited | FY2021 IFRS and rating context.</t>
  </si>
  <si>
    <t>NTT-S09</t>
  </si>
  <si>
    <t>FY2022 financial inputs</t>
  </si>
  <si>
    <t>FY2022 Financial Results</t>
  </si>
  <si>
    <t>https://www.nttdata.com/global/en/-/media/nttdataglobal/1_files/investors/financial-results/2022/fy2022_fs_4q.pdf</t>
  </si>
  <si>
    <t>Kessan Tanshin / final results | Official; Kessan Tanshin | FY2022 statement figures.</t>
  </si>
  <si>
    <t>NTT-S10</t>
  </si>
  <si>
    <t>FY2023 financial inputs</t>
  </si>
  <si>
    <t>FY2023 Financial Results</t>
  </si>
  <si>
    <t>https://www.nttdata.com/global/en/-/media/nttdataglobal/1_files/investors/financial-results/2023/fy2023_fs_4q.pdf?rev=362f0f5a70cf43628c53baadd69caee6</t>
  </si>
  <si>
    <t>Kessan Tanshin / final results | Official; Kessan Tanshin | FY2023 statement figures / FY2022 comparison.</t>
  </si>
  <si>
    <t>NTT-S11</t>
  </si>
  <si>
    <t>FY2024 financial, CFO, interest and debt inputs</t>
  </si>
  <si>
    <t>FY2024 Financial Results</t>
  </si>
  <si>
    <t>Consolidated statements / cash flow</t>
  </si>
  <si>
    <t>https://www.nttdata.com/global/en/-/media/nttdataglobal/1_files/investors/financial-results/2024/fy2024_fs_4q.pdf</t>
  </si>
  <si>
    <t>Kessan Tanshin / final results | Official; Kessan Tanshin | Exact FY2024 statement and cash-flow values.</t>
  </si>
  <si>
    <t>NTT-S12</t>
  </si>
  <si>
    <t>Receivables, payables, contracts, inventory and NTT Ltd. combination</t>
  </si>
  <si>
    <t>FY2022–FY2023</t>
  </si>
  <si>
    <t>Integrated Report 2024 — Notes</t>
  </si>
  <si>
    <t>Receivables, payables, contracts, inventory, business combinations</t>
  </si>
  <si>
    <t>https://www.nttdata.com/global/en/-/media/nttdataglobal/1_files/investors/integrated-report/fy2024_ar.pdf</t>
  </si>
  <si>
    <t>Audited notes | Audited | Detailed working-capital and NTT Ltd. combination disclosures.</t>
  </si>
  <si>
    <t>NTT-S13</t>
  </si>
  <si>
    <t>FY2025 results and normalized Revenue</t>
  </si>
  <si>
    <t>FY2025 Company Presentation</t>
  </si>
  <si>
    <t>Results; balance sheet; segments; order backlog</t>
  </si>
  <si>
    <t>https://www.nttdata.com/global/en/-/media/nttdataglobal/1_files/investors/ir_events/2025/fy2025_pre_4q.pdf</t>
  </si>
  <si>
    <t>Earnings presentation | Unaudited presentation | Many FY2025 values shown in ¥bn to one decimal; mechanically converted to ¥mm.</t>
  </si>
  <si>
    <t>NTT-S14</t>
  </si>
  <si>
    <t>FY2025 results confirmation</t>
  </si>
  <si>
    <t>NTT DATA IR News</t>
  </si>
  <si>
    <t>May 8, 2026 FY2025 results entry</t>
  </si>
  <si>
    <t>https://www.nttdata.com/global/en/investors/news</t>
  </si>
  <si>
    <t>Official IR archive | Official IR | Confirms FY2025 results and historical-data update.</t>
  </si>
  <si>
    <t>NTT-S15</t>
  </si>
  <si>
    <t>FY2016 Dell Services transaction context</t>
  </si>
  <si>
    <t>FY2016</t>
  </si>
  <si>
    <t>NTT DATA Closes Acquisition of Dell Services</t>
  </si>
  <si>
    <t>Transaction close</t>
  </si>
  <si>
    <t>https://www.nttdata.com/global/en/news/press-release/2016/november/2016/ntt-data-closes-acquisition-of-dell-services</t>
  </si>
  <si>
    <t>Official press release | Official | Deal closed Nov. 2, 2016 US time.</t>
  </si>
  <si>
    <t>NTT-S16</t>
  </si>
  <si>
    <t>FY2016 combination and financing context</t>
  </si>
  <si>
    <t>FY2016 Q2 Kessan Tanshin — Dell Services combination</t>
  </si>
  <si>
    <t>Business combination note</t>
  </si>
  <si>
    <t>https://www.nttdata.com/global/en/-/media/nttdataglobal/files/investors/inv004_financials/financial-results/2016/fy2016_fs_2q.pdf?rev=3e91ad1a036f43fb953c6c3c8c3ec724</t>
  </si>
  <si>
    <t>Transaction accounting disclosure | Official; Kessan Tanshin | Acquisition cost ¥345,375mm; financing disclosure.</t>
  </si>
  <si>
    <t>NTT-S17</t>
  </si>
  <si>
    <t>FY2022–FY2023 NTT Ltd. reorganization context</t>
  </si>
  <si>
    <t>Integrated Report 2023</t>
  </si>
  <si>
    <t>Three-company structure / NTT Ltd.</t>
  </si>
  <si>
    <t>https://www.nttdata.com/global/en/-/media/nttdataglobal/1_files/investors/integrated-report/fy2023_ar_b.pdf?rev=aed9c74c1a4d43a18ad6c81cb18a8f5e</t>
  </si>
  <si>
    <t>Integrated report / reorganization | Audited report + management discussion | NTT DATA, Inc. established Oct. 2022; three-company structure July 2023.</t>
  </si>
  <si>
    <t>NTT-S18</t>
  </si>
  <si>
    <t>FY2025 delisting context</t>
  </si>
  <si>
    <t>Notice of Delisting of Company Shares</t>
  </si>
  <si>
    <t>Delisting</t>
  </si>
  <si>
    <t>https://www.nttdata.com/global/en/news/press-release/2025/september/092500</t>
  </si>
  <si>
    <t>Timely disclosure | Official disclosure | Shares delisted Sept. 26, 2025.</t>
  </si>
  <si>
    <t>NTT-S19</t>
  </si>
  <si>
    <t>FY2024 balance-sheet caption confirmation</t>
  </si>
  <si>
    <t>FY2024 Business Report</t>
  </si>
  <si>
    <t>Statement of financial position</t>
  </si>
  <si>
    <t>https://www.nttdata.com/global/en/-/media/nttdataglobal/1_files/investors/stock-information/2025/business-report.pdf?rev=9b7609af9ca34c579bda876bd9b99e21</t>
  </si>
  <si>
    <t>Business report / consolidated statements | Official business report | Confirms Mar. 31, 2025 balance-sheet captions including combined payables.</t>
  </si>
  <si>
    <t>NTT-S20</t>
  </si>
  <si>
    <t>FY2024 Contract Assets, Contract Liabilities and service Revenue</t>
  </si>
  <si>
    <t>FY2024 Statutory Financial Statements / Notes</t>
  </si>
  <si>
    <t>Net sales / contract balances</t>
  </si>
  <si>
    <t>https://www.nttdata.com/global/en/-/media/nttdataglobal/1_files/investors/stock-information/2025/web37_e.pdf?rev=2a93a0492d5b471ebd6d02c370fb6786</t>
  </si>
  <si>
    <t>Statutory note disclosure | Official statutory disclosure | Contract assets ¥197,069mm; total contract liabilities ¥495,570mm; service-revenue breakdown.</t>
  </si>
  <si>
    <t>TR-001</t>
  </si>
  <si>
    <t>Trade Receivables; Contract Assets - current component; Contract Assets - noncurrent component; Trade Payables; Contract Liabilities - current component; Contract Liabilities - noncurrent component</t>
  </si>
  <si>
    <t>Accenture FY2020 — Form 10-K / SEC annual report</t>
  </si>
  <si>
    <t>Balance sheet / contract-balance disclosures</t>
  </si>
  <si>
    <t>https://www.sec.gov/Archives/edgar/data/1467373/000146737321000229/acn-20210831.htm</t>
  </si>
  <si>
    <t>A3; A6</t>
  </si>
  <si>
    <t>Units: USD / USD thousands | Source file: NTT_DATA_Phase3_Step2_Peer_Raw_Data.xlsx</t>
  </si>
  <si>
    <t>TR-002</t>
  </si>
  <si>
    <t>Trade Receivables; Contract Assets - current component; Contract Assets - noncurrent component; Trade Payables; Contract Liabilities - current component; Contract Liabilities - noncurrent component; Revenue; Cost Base; Operating Profit; Net Income; Operating Cash Flow; Depreciation; Amortization - component</t>
  </si>
  <si>
    <t>Accenture FY2021 — Form 10-K / SEC annual report</t>
  </si>
  <si>
    <t>Balance sheet / contract-balance disclosures; Income statement / cash flow / D&amp;A notes</t>
  </si>
  <si>
    <t>TR-003</t>
  </si>
  <si>
    <t>Accenture FY2022 — Form 10-K / SEC annual report</t>
  </si>
  <si>
    <t>https://www.sec.gov/Archives/edgar/data/1467373/000146737322000295/acn-20220831.htm</t>
  </si>
  <si>
    <t>TR-004</t>
  </si>
  <si>
    <t>Accenture FY2023 — Form 10-K / SEC annual report</t>
  </si>
  <si>
    <t>https://www.sec.gov/Archives/edgar/data/1467373/000146737323000324/acn-20230831.htm</t>
  </si>
  <si>
    <t>TR-005</t>
  </si>
  <si>
    <t>Accenture FY2024 — Form 10-K / SEC annual report</t>
  </si>
  <si>
    <t>https://www.sec.gov/Archives/edgar/data/1467373/000146737324000278/acn-20240831.htm</t>
  </si>
  <si>
    <t>TR-006</t>
  </si>
  <si>
    <t>Accenture FY2025 — Form 10-K / SEC annual report</t>
  </si>
  <si>
    <t>https://www.sec.gov/Archives/edgar/data/1467373/000146737325000217/acn-20250831.htm</t>
  </si>
  <si>
    <t>TR-007</t>
  </si>
  <si>
    <t>Trade Receivables; Contract Assets; Trade Payables; Contract Liabilities</t>
  </si>
  <si>
    <t>Capgemini FY2019 — Universal registration document / annual report</t>
  </si>
  <si>
    <t>Balance sheet / detailed working-capital notes</t>
  </si>
  <si>
    <t>https://investors.capgemini.com/en/file/16714?download=1</t>
  </si>
  <si>
    <t>Units: EUR / EUR millions | Source file: NTT_DATA_Phase3_Step2_Peer_Raw_Data.xlsx</t>
  </si>
  <si>
    <t>TR-008</t>
  </si>
  <si>
    <t>Trade Receivables; Contract Assets; Trade Payables; Contract Liabilities; Revenue; Cost Base; Operating Profit; Net Income; Operating Cash Flow; D&amp;A Combined</t>
  </si>
  <si>
    <t>Capgemini FY2020 — Universal registration document / annual report</t>
  </si>
  <si>
    <t>Balance sheet / detailed working-capital notes; Income statement / cash flow / D&amp;A disclosure</t>
  </si>
  <si>
    <t>TR-009</t>
  </si>
  <si>
    <t>Capgemini FY2021 — Universal registration document / annual report</t>
  </si>
  <si>
    <t>https://investors.capgemini.com/en/file/23993?download=1</t>
  </si>
  <si>
    <t>TR-010</t>
  </si>
  <si>
    <t>Capgemini FY2022 — Universal registration document / annual report</t>
  </si>
  <si>
    <t>TR-011</t>
  </si>
  <si>
    <t>Capgemini FY2023 — Universal registration document / annual report</t>
  </si>
  <si>
    <t>https://investors.capgemini.com/en/file/28580?download=1</t>
  </si>
  <si>
    <t>TR-012</t>
  </si>
  <si>
    <t>Capgemini FY2024 — Universal registration document / annual report</t>
  </si>
  <si>
    <t>TR-013</t>
  </si>
  <si>
    <t>Trade Receivables; NR — headline AR context; Contract Assets; Contract Liabilities; Trade Payables — N (not separable)</t>
  </si>
  <si>
    <t>CGI FY2020 — Annual report / financial filing</t>
  </si>
  <si>
    <t>Balance sheet / receivables and working-capital notes</t>
  </si>
  <si>
    <t>https://www.cgi.com/sites/default/files/2021-12/cgi-2021-annual-report.pdf</t>
  </si>
  <si>
    <t>Units: CAD / CAD thousands | Source file: NTT_DATA_Phase3_Step2_Peer_Raw_Data.xlsx</t>
  </si>
  <si>
    <t>TR-014</t>
  </si>
  <si>
    <t>Trade Receivables; NR — headline AR context; Contract Assets; Contract Liabilities; Trade Payables — N (not separable); Revenue; NR — combined operating cost context; Net Income; Operating Cash Flow; Operating Result - bridge component; Depreciation - component; Amortization - component</t>
  </si>
  <si>
    <t>CGI FY2021 — Annual report / financial filing</t>
  </si>
  <si>
    <t>Balance sheet / receivables and working-capital notes; Income statement / cash flow / Note 24</t>
  </si>
  <si>
    <t>TR-015</t>
  </si>
  <si>
    <t>CGI FY2022 — Annual report / financial filing</t>
  </si>
  <si>
    <t>https://www.cgi.com/sites/default/files/2023-12/cgi-2023-annual-report.pdf</t>
  </si>
  <si>
    <t>TR-016</t>
  </si>
  <si>
    <t>CGI FY2023 — Annual report / financial filing</t>
  </si>
  <si>
    <t>TR-017</t>
  </si>
  <si>
    <t>CGI FY2024 — Annual report / financial filing</t>
  </si>
  <si>
    <t>https://www.cgi.com/sites/default/files/2025-12/cgi-2025-annual-report.pdf</t>
  </si>
  <si>
    <t>TR-018</t>
  </si>
  <si>
    <t>CGI FY2025 — Annual report / financial filing</t>
  </si>
  <si>
    <t>TR-019</t>
  </si>
  <si>
    <t>Trade Receivables - billed component; Trade Receivables - unbilled component; Contract Assets; Inventory; Trade Payables; Contract Liabilities</t>
  </si>
  <si>
    <t>TCS FY2021 — Annual report</t>
  </si>
  <si>
    <t>Trade receivables / revenue / inventory / payable notes</t>
  </si>
  <si>
    <t>https://www.tcs.com/content/dam/tcs/investor-relations/financial-statements/2021-22/q4/IND%20AS/Consolidated.pdf</t>
  </si>
  <si>
    <t>Units: INR / INR crore | Source file: NTT_DATA_Phase3_Step2_Peer_Raw_Data.xlsx</t>
  </si>
  <si>
    <t>TR-020</t>
  </si>
  <si>
    <t>Trade Receivables - billed component; Trade Receivables - unbilled component; Contract Assets; Inventory; Trade Payables; Contract Liabilities; Revenue; Cost Base; Operating Profit; Net Income; Operating Cash Flow; D&amp;A Combined</t>
  </si>
  <si>
    <t>TCS FY2022 — Annual report</t>
  </si>
  <si>
    <t>Trade receivables / revenue / inventory / payable notes; Consolidated P&amp;L / cash flow / D&amp;A</t>
  </si>
  <si>
    <t>TR-021</t>
  </si>
  <si>
    <t>TCS FY2023 — Annual report</t>
  </si>
  <si>
    <t>https://www.tcs.com/content/dam/tcs/investor-relations/financial-statements/2022-23/ar/annual-report-2022-2023.pdf</t>
  </si>
  <si>
    <t>TR-022</t>
  </si>
  <si>
    <t>TCS FY2024 — Annual report</t>
  </si>
  <si>
    <t>https://www.tcs.com/content/dam/tcs/investor-relations/financial-statements/2023-24/ar/annual-report-2023-2024.pdf</t>
  </si>
  <si>
    <t>TR-023</t>
  </si>
  <si>
    <t>TCS FY2025 — Annual report</t>
  </si>
  <si>
    <t>https://www.tcs.com/content/dam/tcs/investor-relations/financial-statements/2024-25/ar/annual-report-2024-2025.pdf</t>
  </si>
  <si>
    <t>TR-024</t>
  </si>
  <si>
    <t>Trade Receivables - billed component; Trade Receivables - unbilled component; Contract Assets; Inventory; Trade Payables; Contract Liabilities; Revenue; Cost Base; Operating Profit - bridge component; Net Income; Operating Cash Flow; D&amp;A Combined</t>
  </si>
  <si>
    <t>FY2026</t>
  </si>
  <si>
    <t>TCS FY2026 — Annual report</t>
  </si>
  <si>
    <t>Trade receivables / revenue / inventory / payable notes; FY2026 audited results</t>
  </si>
  <si>
    <t>https://www.tcs.com/content/dam/tcs/investor-relations/financial-statements/2025-26/ar/annual-report-2025-2026.pdf</t>
  </si>
  <si>
    <t>TR-025</t>
  </si>
  <si>
    <t>Contract Assets — Separate; Contract Liabilities — Total</t>
  </si>
  <si>
    <t>FY2017</t>
  </si>
  <si>
    <t>NTT DATA FY2017 — Approved financial source</t>
  </si>
  <si>
    <t>IFRS-restated FY2017 CA/CL opening bridge</t>
  </si>
  <si>
    <t>A5; A6; A7</t>
  </si>
  <si>
    <t>Units: JPY / JPY million | Source file: NTT_DATA_Phase2_Complete.xlsx</t>
  </si>
  <si>
    <t>TR-026</t>
  </si>
  <si>
    <t>Revenue; Cost of Sales; Trade Receivables — Pure; Contract Assets — Separate; Inventory — Total; Trade Payables — Pure; Contract Liabilities — Total; Operating Cash Flow; Operating Profit; Net Income / Profit for the Year; Phase 2 Official EBITDA KPI</t>
  </si>
  <si>
    <t>NTT DATA FY2018 — Approved financial source</t>
  </si>
  <si>
    <t>Phase 2 reported input</t>
  </si>
  <si>
    <t>TR-027</t>
  </si>
  <si>
    <t>NTT DATA FY2019 — Approved financial source</t>
  </si>
  <si>
    <t>TR-028</t>
  </si>
  <si>
    <t>NTT DATA FY2020 — Approved financial source</t>
  </si>
  <si>
    <t>TR-029</t>
  </si>
  <si>
    <t>NTT DATA FY2021 — Approved financial source</t>
  </si>
  <si>
    <t>TR-030</t>
  </si>
  <si>
    <t>NTT DATA FY2022 — Approved financial source</t>
  </si>
  <si>
    <t>TR-031</t>
  </si>
  <si>
    <t>NTT DATA FY2023 — Approved financial source</t>
  </si>
  <si>
    <t>TR-032</t>
  </si>
  <si>
    <t>NTT DATA FY2024 — Approved financial source</t>
  </si>
  <si>
    <t>TR-033</t>
  </si>
  <si>
    <t>NTT DATA FY2025 — Approved financial source</t>
  </si>
  <si>
    <t>TR-034</t>
  </si>
  <si>
    <t>Phase 3 standardized EBITDA only</t>
  </si>
  <si>
    <t>FY2019 financial results, cash-flow statement p.23; official Kessan Tanshin (unaudited)</t>
  </si>
  <si>
    <t>https://www.nttdata.com/global/en/-/media/nttdataglobal/1_files/investors/financial-results/2019/fy2019_fs_4q_01.pdf?hash=08506D278EA3F3815F57943D09998C04A02584C9&amp;la=en</t>
  </si>
  <si>
    <t>Units: JPY / JPY million | Source file: Official NTT DATA filing</t>
  </si>
  <si>
    <t>TR-035</t>
  </si>
  <si>
    <t>TR-036</t>
  </si>
  <si>
    <t>FY2021 financial results, cash-flow statement p.29; official Kessan Tanshin (unaudited)</t>
  </si>
  <si>
    <t>https://www.nttdata.com/global/en/-/media/nttdataglobal/1_files/investors/financial-results/2021/fy2021_fs_4q_02.pdf?hash=0A548AE1B946E9F4B7ED95EDE5591C8712446807&amp;la=en</t>
  </si>
  <si>
    <t>TR-037</t>
  </si>
  <si>
    <t>TR-038</t>
  </si>
  <si>
    <t>FY2023 financial results, cash-flow statement p.28; official Kessan Tanshin (unaudited)</t>
  </si>
  <si>
    <t>TR-039</t>
  </si>
  <si>
    <t>FY2024 financial results, cash-flow statement p.20; official Kessan Tanshin (unaudited)</t>
  </si>
  <si>
    <t>https://www.nttdata.com/global/en/-/media/nttdataglobal/1_files/investors/financial-results/2024/fy2024_fs_4q.pdf?rev=27cf18c7761443188c7fa59817333d13</t>
  </si>
  <si>
    <t>TR-040</t>
  </si>
  <si>
    <t>A9 — QA</t>
  </si>
  <si>
    <t>Formal audit of data reconciliation, formulas, analytical discipline, navigation and rendered presentation</t>
  </si>
  <si>
    <t>Review Area</t>
  </si>
  <si>
    <t>Test</t>
  </si>
  <si>
    <t>Result</t>
  </si>
  <si>
    <t>Formula accuracy</t>
  </si>
  <si>
    <t>Core arithmetic and approved formulas recalculate within tolerance</t>
  </si>
  <si>
    <t>Formula-linked opportunity and reconciliation checks.</t>
  </si>
  <si>
    <t>NTT historical data reconciliation</t>
  </si>
  <si>
    <t>Approved FY2018–FY2025 values match Phase 3 Step 4</t>
  </si>
  <si>
    <t>Includes clean-window treatment.</t>
  </si>
  <si>
    <t>Peer raw-data reconciliation</t>
  </si>
  <si>
    <t>Source register reconciles to approved peer raw-data traceability</t>
  </si>
  <si>
    <t>PASS</t>
  </si>
  <si>
    <t>Audited against normalized peer source register.</t>
  </si>
  <si>
    <t>Normalized peer-data reconciliation</t>
  </si>
  <si>
    <t>Normalization rules match approved Phase 3 Step 3</t>
  </si>
  <si>
    <t>No new reclassification introduced.</t>
  </si>
  <si>
    <t>Metric eligibility consistency</t>
  </si>
  <si>
    <t>Multi-peer and single-peer eligibility counts match final framework</t>
  </si>
  <si>
    <t>Seven multi-peer metrics; four single-peer references.</t>
  </si>
  <si>
    <t>Peer benchmark reconciliation</t>
  </si>
  <si>
    <t>NTT and peer benchmark values match approved Step 4</t>
  </si>
  <si>
    <t>Company-median then cross-sectional-median method.</t>
  </si>
  <si>
    <t>DSO gap reconciliation</t>
  </si>
  <si>
    <t>Baseline less peer median equals approved 22.8724-day gap</t>
  </si>
  <si>
    <t>Direct formula check.</t>
  </si>
  <si>
    <t>Scenario reconciliation</t>
  </si>
  <si>
    <t>25% / 50% / 75% / 100% scenarios reproduce Phase 4</t>
  </si>
  <si>
    <t>Full convergence remains reference only.</t>
  </si>
  <si>
    <t>Cash-release reconciliation</t>
  </si>
  <si>
    <t>Base cash release equals approved ¥152.7467bn</t>
  </si>
  <si>
    <t>Revenue × DSO improvement ÷ 365.</t>
  </si>
  <si>
    <t>Financing-cost reconciliation</t>
  </si>
  <si>
    <t>Interest expense ÷ average debt equals approved 3.84225%</t>
  </si>
  <si>
    <t>Uses approved FY2024 inputs.</t>
  </si>
  <si>
    <t>Financing-benefit reconciliation</t>
  </si>
  <si>
    <t>Base annual benefit equals approved ¥5.8689bn</t>
  </si>
  <si>
    <t>100% financing-utilization reference.</t>
  </si>
  <si>
    <t>Structural-break treatment</t>
  </si>
  <si>
    <t>FY2022 is clearly flagged and excluded from clean summaries</t>
  </si>
  <si>
    <t>NTT Ltd. consolidation.</t>
  </si>
  <si>
    <t>N/A treatment</t>
  </si>
  <si>
    <t>Unavailable data are shown as N/A, not zero</t>
  </si>
  <si>
    <t>No unsupported estimates.</t>
  </si>
  <si>
    <t>No unsupported estimates</t>
  </si>
  <si>
    <t>No missing peer or NTT values have been imputed</t>
  </si>
  <si>
    <t>Confirmed through workbook construction and source audit.</t>
  </si>
  <si>
    <t>No double counting</t>
  </si>
  <si>
    <t>CCC, Adjusted CCC and OWC are not monetized separately</t>
  </si>
  <si>
    <t>Receivables opportunity is the only monetized lever.</t>
  </si>
  <si>
    <t>Cash release ≠ profit</t>
  </si>
  <si>
    <t>One-time release is explicitly separated from recurring benefit</t>
  </si>
  <si>
    <t>Warning box included on A7.</t>
  </si>
  <si>
    <t>Full convergence marked reference only</t>
  </si>
  <si>
    <t>100% scenario is visibly de-emphasized and labeled</t>
  </si>
  <si>
    <t>Not presented as the base target.</t>
  </si>
  <si>
    <t>Source traceability</t>
  </si>
  <si>
    <t>Major conclusions have source-register support</t>
  </si>
  <si>
    <t>NTT primary register plus peer input-source index.</t>
  </si>
  <si>
    <t>Formula-error scan</t>
  </si>
  <si>
    <t>No Excel calculation errors identified</t>
  </si>
  <si>
    <t>Checked after workbook build and export against the standard error-token set.</t>
  </si>
  <si>
    <t>Visual review</t>
  </si>
  <si>
    <t>Every sheet rendered and inspected at normal scale</t>
  </si>
  <si>
    <t>All ten sheets reviewed for readability and clipping.</t>
  </si>
  <si>
    <t>QA scope: source reconciliation, formulas, clean-period logic, structural-break and N/A treatment, peer eligibility, opportunity scenarios, one-time versus recurring benefit distinction, no-double-counting discipline, navigation, formula-error scanning and rendered visual inspection.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</si>
</sst>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\ &quot;days&quot;"/>
    <numFmt numFmtId="165" formatCode="0.0"/>
    <numFmt numFmtId="166" formatCode="0.0%"/>
    <numFmt numFmtId="167" formatCode="#,##0.0"/>
  </numFmts>
  <fonts count="14">
    <font>
      <sz val="11"/>
      <name val="Carlito"/>
    </font>
    <font>
      <sz val="10"/>
      <color rgb="FF1F2937"/>
      <name val="Arial"/>
    </font>
    <font>
      <b/>
      <sz val="9"/>
      <color rgb="FF0B1F33"/>
      <name val="Arial"/>
    </font>
    <font>
      <b/>
      <sz val="10"/>
      <color rgb="FFFFFFFF"/>
      <name val="Arial"/>
    </font>
    <font>
      <b/>
      <sz val="10"/>
      <color rgb="FF0B1F33"/>
      <name val="Arial"/>
    </font>
    <font>
      <b/>
      <sz val="16"/>
      <color rgb="FF0B1F33"/>
      <name val="Arial"/>
    </font>
    <font>
      <i/>
      <sz val="10"/>
      <color rgb="FF667085"/>
      <name val="Arial"/>
    </font>
    <font>
      <b/>
      <sz val="9"/>
      <color rgb="FF2F75B5"/>
      <name val="Arial"/>
    </font>
    <font>
      <sz val="9"/>
      <color rgb="FF2F75B5"/>
      <name val="Arial"/>
    </font>
    <font>
      <b/>
      <sz val="9"/>
      <color rgb="FFFFFFFF"/>
      <name val="Arial"/>
    </font>
    <font>
      <b/>
      <sz val="12"/>
      <color rgb="FF1F2937"/>
      <name val="Arial"/>
    </font>
    <font>
      <i/>
      <sz val="9"/>
      <color rgb="FF667085"/>
      <name val="Arial"/>
    </font>
    <font>
      <b/>
      <sz val="13"/>
      <color rgb="FF0B1F33"/>
      <name val="Arial"/>
    </font>
    <font>
      <b/>
      <sz val="15"/>
      <color rgb="FF2A7F8E"/>
      <name val="Arial"/>
    </font>
  </fonts>
  <fills count="9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1F4E78"/>
      </patternFill>
    </fill>
    <fill>
      <patternFill patternType="solid">
        <fgColor rgb="FFEDF4FA"/>
      </patternFill>
    </fill>
    <fill>
      <patternFill patternType="solid">
        <fgColor rgb="FFD9EAF7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2F4F7"/>
      </patternFill>
    </fill>
  </fills>
  <borders count="43">
    <border>
      <left/>
      <right/>
      <top/>
      <bottom/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/>
      <right/>
      <top/>
      <bottom style="medium">
        <color rgb="FF1F4E78"/>
      </bottom>
      <diagonal/>
    </border>
    <border>
      <left/>
      <right style="thin">
        <color rgb="FFFFFFFF"/>
      </right>
      <top/>
      <bottom style="medium">
        <color rgb="FF0B1F33"/>
      </bottom>
      <diagonal/>
    </border>
    <border>
      <left style="thin">
        <color rgb="FFFFFFFF"/>
      </left>
      <right style="thin">
        <color rgb="FFFFFFFF"/>
      </right>
      <top/>
      <bottom style="medium">
        <color rgb="FF0B1F33"/>
      </bottom>
      <diagonal/>
    </border>
    <border>
      <left style="thin">
        <color rgb="FFFFFFFF"/>
      </left>
      <right/>
      <top/>
      <bottom style="medium">
        <color rgb="FF0B1F33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 style="thin">
        <color rgb="FFD97706"/>
      </left>
      <right/>
      <top style="thin">
        <color rgb="FFD97706"/>
      </top>
      <bottom/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 style="thin">
        <color rgb="FFD97706"/>
      </left>
      <right/>
      <top/>
      <bottom/>
      <diagonal/>
    </border>
    <border>
      <left/>
      <right style="thin">
        <color rgb="FFD97706"/>
      </right>
      <top/>
      <bottom/>
      <diagonal/>
    </border>
    <border>
      <left style="thin">
        <color rgb="FFD97706"/>
      </left>
      <right/>
      <top/>
      <bottom style="thin">
        <color rgb="FFD97706"/>
      </bottom>
      <diagonal/>
    </border>
    <border>
      <left/>
      <right/>
      <top/>
      <bottom style="thin">
        <color rgb="FFD97706"/>
      </bottom>
      <diagonal/>
    </border>
    <border>
      <left/>
      <right style="thin">
        <color rgb="FFD97706"/>
      </right>
      <top/>
      <bottom style="thin">
        <color rgb="FFD97706"/>
      </bottom>
      <diagonal/>
    </border>
    <border>
      <left/>
      <right/>
      <top/>
      <bottom style="medium">
        <color rgb="FF0B1F33"/>
      </bottom>
      <diagonal/>
    </border>
    <border>
      <left style="thin">
        <color rgb="FF2F75B5"/>
      </left>
      <right/>
      <top style="thin">
        <color rgb="FF2F75B5"/>
      </top>
      <bottom/>
      <diagonal/>
    </border>
    <border>
      <left/>
      <right/>
      <top style="thin">
        <color rgb="FF2F75B5"/>
      </top>
      <bottom/>
      <diagonal/>
    </border>
    <border>
      <left/>
      <right style="thin">
        <color rgb="FF2F75B5"/>
      </right>
      <top style="thin">
        <color rgb="FF2F75B5"/>
      </top>
      <bottom/>
      <diagonal/>
    </border>
    <border>
      <left style="thin">
        <color rgb="FF2F75B5"/>
      </left>
      <right/>
      <top/>
      <bottom style="thin">
        <color rgb="FF2F75B5"/>
      </bottom>
      <diagonal/>
    </border>
    <border>
      <left/>
      <right/>
      <top/>
      <bottom style="thin">
        <color rgb="FF2F75B5"/>
      </bottom>
      <diagonal/>
    </border>
    <border>
      <left/>
      <right style="thin">
        <color rgb="FF2F75B5"/>
      </right>
      <top/>
      <bottom style="thin">
        <color rgb="FF2F75B5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medium">
        <color rgb="FF2A7F8E"/>
      </bottom>
      <diagonal/>
    </border>
    <border>
      <left style="medium">
        <color rgb="FFD97706"/>
      </left>
      <right/>
      <top style="medium">
        <color rgb="FFD97706"/>
      </top>
      <bottom/>
      <diagonal/>
    </border>
    <border>
      <left/>
      <right/>
      <top style="medium">
        <color rgb="FFD97706"/>
      </top>
      <bottom/>
      <diagonal/>
    </border>
    <border>
      <left/>
      <right style="medium">
        <color rgb="FFD97706"/>
      </right>
      <top style="medium">
        <color rgb="FFD97706"/>
      </top>
      <bottom/>
      <diagonal/>
    </border>
    <border>
      <left style="medium">
        <color rgb="FFD97706"/>
      </left>
      <right/>
      <top/>
      <bottom/>
      <diagonal/>
    </border>
    <border>
      <left/>
      <right style="medium">
        <color rgb="FFD97706"/>
      </right>
      <top/>
      <bottom/>
      <diagonal/>
    </border>
    <border>
      <left style="medium">
        <color rgb="FFD97706"/>
      </left>
      <right/>
      <top/>
      <bottom style="medium">
        <color rgb="FFD97706"/>
      </bottom>
      <diagonal/>
    </border>
    <border>
      <left/>
      <right/>
      <top/>
      <bottom style="medium">
        <color rgb="FFD97706"/>
      </bottom>
      <diagonal/>
    </border>
    <border>
      <left/>
      <right style="medium">
        <color rgb="FFD97706"/>
      </right>
      <top/>
      <bottom style="medium">
        <color rgb="FFD97706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0" xfId="0" applyFont="1" applyAlignment="1">
      <alignment vertical="center"/>
    </xf>
    <xf numFmtId="0" fontId="2" fillId="5" borderId="1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vertical="center" wrapText="1"/>
    </xf>
    <xf numFmtId="0" fontId="3" fillId="3" borderId="9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12" xfId="0" applyFont="1" applyBorder="1" applyAlignment="1">
      <alignment horizontal="right" vertical="center"/>
    </xf>
    <xf numFmtId="0" fontId="8" fillId="0" borderId="0" xfId="0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16" xfId="0" applyFont="1" applyBorder="1" applyAlignment="1">
      <alignment vertical="center" wrapText="1"/>
    </xf>
    <xf numFmtId="0" fontId="1" fillId="4" borderId="16" xfId="0" applyFont="1" applyFill="1" applyBorder="1" applyAlignment="1">
      <alignment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9" fillId="2" borderId="25" xfId="0" applyFont="1" applyFill="1" applyBorder="1" applyAlignment="1">
      <alignment horizontal="center" vertical="center" wrapText="1"/>
    </xf>
    <xf numFmtId="165" fontId="1" fillId="0" borderId="5" xfId="0" applyNumberFormat="1" applyFont="1" applyBorder="1" applyAlignment="1">
      <alignment vertical="center" wrapText="1"/>
    </xf>
    <xf numFmtId="165" fontId="1" fillId="0" borderId="16" xfId="0" applyNumberFormat="1" applyFont="1" applyBorder="1" applyAlignment="1">
      <alignment vertical="center" wrapText="1"/>
    </xf>
    <xf numFmtId="166" fontId="1" fillId="0" borderId="5" xfId="0" applyNumberFormat="1" applyFont="1" applyBorder="1" applyAlignment="1">
      <alignment vertical="center" wrapText="1"/>
    </xf>
    <xf numFmtId="166" fontId="1" fillId="0" borderId="16" xfId="0" applyNumberFormat="1" applyFont="1" applyBorder="1" applyAlignment="1">
      <alignment vertical="center" wrapText="1"/>
    </xf>
    <xf numFmtId="0" fontId="4" fillId="7" borderId="16" xfId="0" applyFont="1" applyFill="1" applyBorder="1" applyAlignment="1">
      <alignment vertical="center" wrapText="1"/>
    </xf>
    <xf numFmtId="165" fontId="4" fillId="7" borderId="16" xfId="0" applyNumberFormat="1" applyFont="1" applyFill="1" applyBorder="1" applyAlignment="1">
      <alignment vertical="center" wrapText="1"/>
    </xf>
    <xf numFmtId="166" fontId="4" fillId="7" borderId="16" xfId="0" applyNumberFormat="1" applyFont="1" applyFill="1" applyBorder="1" applyAlignment="1">
      <alignment vertical="center" wrapText="1"/>
    </xf>
    <xf numFmtId="165" fontId="11" fillId="8" borderId="5" xfId="0" applyNumberFormat="1" applyFont="1" applyFill="1" applyBorder="1" applyAlignment="1">
      <alignment horizontal="center" vertical="center" wrapText="1"/>
    </xf>
    <xf numFmtId="165" fontId="11" fillId="8" borderId="16" xfId="0" applyNumberFormat="1" applyFont="1" applyFill="1" applyBorder="1" applyAlignment="1">
      <alignment vertical="center" wrapText="1"/>
    </xf>
    <xf numFmtId="165" fontId="11" fillId="8" borderId="16" xfId="0" applyNumberFormat="1" applyFont="1" applyFill="1" applyBorder="1" applyAlignment="1">
      <alignment horizontal="center" vertical="center" wrapText="1"/>
    </xf>
    <xf numFmtId="166" fontId="11" fillId="8" borderId="16" xfId="0" applyNumberFormat="1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vertical="center" wrapText="1"/>
    </xf>
    <xf numFmtId="165" fontId="1" fillId="5" borderId="5" xfId="0" applyNumberFormat="1" applyFont="1" applyFill="1" applyBorder="1" applyAlignment="1">
      <alignment vertical="center" wrapText="1"/>
    </xf>
    <xf numFmtId="0" fontId="2" fillId="6" borderId="16" xfId="0" applyFont="1" applyFill="1" applyBorder="1" applyAlignment="1">
      <alignment vertical="center" wrapText="1"/>
    </xf>
    <xf numFmtId="165" fontId="2" fillId="6" borderId="16" xfId="0" applyNumberFormat="1" applyFont="1" applyFill="1" applyBorder="1" applyAlignment="1">
      <alignment vertical="center" wrapText="1"/>
    </xf>
    <xf numFmtId="0" fontId="1" fillId="5" borderId="16" xfId="0" applyFont="1" applyFill="1" applyBorder="1" applyAlignment="1">
      <alignment vertical="center" wrapText="1"/>
    </xf>
    <xf numFmtId="165" fontId="1" fillId="5" borderId="16" xfId="0" applyNumberFormat="1" applyFont="1" applyFill="1" applyBorder="1" applyAlignment="1">
      <alignment vertical="center" wrapText="1"/>
    </xf>
    <xf numFmtId="166" fontId="1" fillId="5" borderId="16" xfId="0" applyNumberFormat="1" applyFont="1" applyFill="1" applyBorder="1" applyAlignment="1">
      <alignment vertical="center" wrapText="1"/>
    </xf>
    <xf numFmtId="166" fontId="2" fillId="6" borderId="16" xfId="0" applyNumberFormat="1" applyFont="1" applyFill="1" applyBorder="1" applyAlignment="1">
      <alignment vertical="center" wrapText="1"/>
    </xf>
    <xf numFmtId="0" fontId="4" fillId="7" borderId="5" xfId="0" applyFont="1" applyFill="1" applyBorder="1" applyAlignment="1">
      <alignment vertical="center" wrapText="1"/>
    </xf>
    <xf numFmtId="165" fontId="4" fillId="7" borderId="5" xfId="0" applyNumberFormat="1" applyFont="1" applyFill="1" applyBorder="1" applyAlignment="1">
      <alignment vertical="center" wrapText="1"/>
    </xf>
    <xf numFmtId="3" fontId="1" fillId="0" borderId="5" xfId="0" applyNumberFormat="1" applyFont="1" applyBorder="1" applyAlignment="1">
      <alignment vertical="center" wrapText="1"/>
    </xf>
    <xf numFmtId="3" fontId="1" fillId="0" borderId="16" xfId="0" applyNumberFormat="1" applyFont="1" applyBorder="1" applyAlignment="1">
      <alignment vertical="center" wrapText="1"/>
    </xf>
    <xf numFmtId="10" fontId="2" fillId="5" borderId="2" xfId="0" applyNumberFormat="1" applyFont="1" applyFill="1" applyBorder="1" applyAlignment="1">
      <alignment vertical="center" wrapText="1"/>
    </xf>
    <xf numFmtId="0" fontId="2" fillId="5" borderId="4" xfId="0" applyFont="1" applyFill="1" applyBorder="1" applyAlignment="1">
      <alignment vertical="center" wrapText="1"/>
    </xf>
    <xf numFmtId="167" fontId="2" fillId="5" borderId="5" xfId="0" applyNumberFormat="1" applyFont="1" applyFill="1" applyBorder="1" applyAlignment="1">
      <alignment vertical="center" wrapText="1"/>
    </xf>
    <xf numFmtId="0" fontId="2" fillId="5" borderId="5" xfId="0" applyFont="1" applyFill="1" applyBorder="1" applyAlignment="1">
      <alignment vertical="center" wrapText="1"/>
    </xf>
    <xf numFmtId="0" fontId="2" fillId="5" borderId="6" xfId="0" applyFont="1" applyFill="1" applyBorder="1" applyAlignment="1">
      <alignment vertical="center" wrapText="1"/>
    </xf>
    <xf numFmtId="9" fontId="1" fillId="0" borderId="5" xfId="0" applyNumberFormat="1" applyFont="1" applyBorder="1" applyAlignment="1">
      <alignment vertical="center" wrapText="1"/>
    </xf>
    <xf numFmtId="9" fontId="1" fillId="0" borderId="16" xfId="0" applyNumberFormat="1" applyFont="1" applyBorder="1" applyAlignment="1">
      <alignment vertical="center" wrapText="1"/>
    </xf>
    <xf numFmtId="0" fontId="4" fillId="6" borderId="34" xfId="0" applyFont="1" applyFill="1" applyBorder="1" applyAlignment="1">
      <alignment vertical="center" wrapText="1"/>
    </xf>
    <xf numFmtId="9" fontId="4" fillId="6" borderId="34" xfId="0" applyNumberFormat="1" applyFont="1" applyFill="1" applyBorder="1" applyAlignment="1">
      <alignment vertical="center" wrapText="1"/>
    </xf>
    <xf numFmtId="165" fontId="4" fillId="6" borderId="34" xfId="0" applyNumberFormat="1" applyFont="1" applyFill="1" applyBorder="1" applyAlignment="1">
      <alignment vertical="center" wrapText="1"/>
    </xf>
    <xf numFmtId="0" fontId="11" fillId="8" borderId="16" xfId="0" applyFont="1" applyFill="1" applyBorder="1" applyAlignment="1">
      <alignment vertical="center" wrapText="1"/>
    </xf>
    <xf numFmtId="9" fontId="11" fillId="8" borderId="16" xfId="0" applyNumberFormat="1" applyFont="1" applyFill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7" borderId="17" xfId="0" applyFont="1" applyFill="1" applyBorder="1" applyAlignment="1">
      <alignment vertical="center" wrapText="1"/>
    </xf>
    <xf numFmtId="0" fontId="4" fillId="7" borderId="18" xfId="0" applyFont="1" applyFill="1" applyBorder="1" applyAlignment="1">
      <alignment vertical="center" wrapText="1"/>
    </xf>
    <xf numFmtId="0" fontId="4" fillId="7" borderId="19" xfId="0" applyFont="1" applyFill="1" applyBorder="1" applyAlignment="1">
      <alignment vertical="center" wrapText="1"/>
    </xf>
    <xf numFmtId="0" fontId="4" fillId="7" borderId="20" xfId="0" applyFont="1" applyFill="1" applyBorder="1" applyAlignment="1">
      <alignment vertical="center" wrapText="1"/>
    </xf>
    <xf numFmtId="0" fontId="4" fillId="7" borderId="0" xfId="0" applyFont="1" applyFill="1" applyAlignment="1">
      <alignment vertical="center" wrapText="1"/>
    </xf>
    <xf numFmtId="0" fontId="4" fillId="7" borderId="21" xfId="0" applyFont="1" applyFill="1" applyBorder="1" applyAlignment="1">
      <alignment vertical="center" wrapText="1"/>
    </xf>
    <xf numFmtId="0" fontId="4" fillId="7" borderId="22" xfId="0" applyFont="1" applyFill="1" applyBorder="1" applyAlignment="1">
      <alignment vertical="center" wrapText="1"/>
    </xf>
    <xf numFmtId="0" fontId="4" fillId="7" borderId="23" xfId="0" applyFont="1" applyFill="1" applyBorder="1" applyAlignment="1">
      <alignment vertical="center" wrapText="1"/>
    </xf>
    <xf numFmtId="0" fontId="4" fillId="7" borderId="24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6" fillId="8" borderId="1" xfId="0" applyFont="1" applyFill="1" applyBorder="1" applyAlignment="1">
      <alignment vertical="center" wrapText="1"/>
    </xf>
    <xf numFmtId="0" fontId="6" fillId="8" borderId="2" xfId="0" applyFont="1" applyFill="1" applyBorder="1" applyAlignment="1">
      <alignment vertical="center" wrapText="1"/>
    </xf>
    <xf numFmtId="0" fontId="6" fillId="8" borderId="3" xfId="0" applyFont="1" applyFill="1" applyBorder="1" applyAlignment="1">
      <alignment vertical="center" wrapText="1"/>
    </xf>
    <xf numFmtId="0" fontId="6" fillId="8" borderId="7" xfId="0" applyFont="1" applyFill="1" applyBorder="1" applyAlignment="1">
      <alignment vertical="center" wrapText="1"/>
    </xf>
    <xf numFmtId="0" fontId="6" fillId="8" borderId="0" xfId="0" applyFont="1" applyFill="1" applyAlignment="1">
      <alignment vertical="center" wrapText="1"/>
    </xf>
    <xf numFmtId="0" fontId="6" fillId="8" borderId="8" xfId="0" applyFont="1" applyFill="1" applyBorder="1" applyAlignment="1">
      <alignment vertical="center" wrapText="1"/>
    </xf>
    <xf numFmtId="0" fontId="6" fillId="8" borderId="4" xfId="0" applyFont="1" applyFill="1" applyBorder="1" applyAlignment="1">
      <alignment vertical="center" wrapText="1"/>
    </xf>
    <xf numFmtId="0" fontId="6" fillId="8" borderId="5" xfId="0" applyFont="1" applyFill="1" applyBorder="1" applyAlignment="1">
      <alignment vertical="center" wrapText="1"/>
    </xf>
    <xf numFmtId="0" fontId="6" fillId="8" borderId="6" xfId="0" applyFont="1" applyFill="1" applyBorder="1" applyAlignment="1">
      <alignment vertical="center" wrapText="1"/>
    </xf>
    <xf numFmtId="0" fontId="11" fillId="4" borderId="0" xfId="0" applyFont="1" applyFill="1" applyAlignment="1">
      <alignment vertical="center" wrapText="1"/>
    </xf>
    <xf numFmtId="0" fontId="4" fillId="4" borderId="26" xfId="0" applyFont="1" applyFill="1" applyBorder="1" applyAlignment="1">
      <alignment vertical="center" wrapText="1"/>
    </xf>
    <xf numFmtId="0" fontId="4" fillId="4" borderId="27" xfId="0" applyFont="1" applyFill="1" applyBorder="1" applyAlignment="1">
      <alignment vertical="center" wrapText="1"/>
    </xf>
    <xf numFmtId="0" fontId="4" fillId="4" borderId="28" xfId="0" applyFont="1" applyFill="1" applyBorder="1" applyAlignment="1">
      <alignment vertical="center" wrapText="1"/>
    </xf>
    <xf numFmtId="0" fontId="4" fillId="4" borderId="29" xfId="0" applyFont="1" applyFill="1" applyBorder="1" applyAlignment="1">
      <alignment vertical="center" wrapText="1"/>
    </xf>
    <xf numFmtId="0" fontId="4" fillId="4" borderId="30" xfId="0" applyFont="1" applyFill="1" applyBorder="1" applyAlignment="1">
      <alignment vertical="center" wrapText="1"/>
    </xf>
    <xf numFmtId="0" fontId="4" fillId="4" borderId="31" xfId="0" applyFont="1" applyFill="1" applyBorder="1" applyAlignment="1">
      <alignment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vertical="center" wrapText="1"/>
    </xf>
    <xf numFmtId="0" fontId="1" fillId="0" borderId="16" xfId="0" applyFont="1" applyBorder="1" applyAlignment="1">
      <alignment vertical="center" wrapText="1"/>
    </xf>
    <xf numFmtId="0" fontId="4" fillId="4" borderId="32" xfId="0" applyFont="1" applyFill="1" applyBorder="1" applyAlignment="1">
      <alignment vertical="center"/>
    </xf>
    <xf numFmtId="0" fontId="4" fillId="4" borderId="16" xfId="0" applyFont="1" applyFill="1" applyBorder="1" applyAlignment="1">
      <alignment vertical="center"/>
    </xf>
    <xf numFmtId="164" fontId="12" fillId="4" borderId="16" xfId="0" applyNumberFormat="1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33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4" fillId="7" borderId="32" xfId="0" applyFont="1" applyFill="1" applyBorder="1" applyAlignment="1">
      <alignment vertical="center"/>
    </xf>
    <xf numFmtId="0" fontId="4" fillId="7" borderId="16" xfId="0" applyFont="1" applyFill="1" applyBorder="1" applyAlignment="1">
      <alignment vertical="center"/>
    </xf>
    <xf numFmtId="9" fontId="12" fillId="7" borderId="16" xfId="0" applyNumberFormat="1" applyFont="1" applyFill="1" applyBorder="1" applyAlignment="1">
      <alignment horizontal="center" vertical="center"/>
    </xf>
    <xf numFmtId="0" fontId="4" fillId="7" borderId="16" xfId="0" applyFont="1" applyFill="1" applyBorder="1" applyAlignment="1">
      <alignment horizontal="center" vertical="center"/>
    </xf>
    <xf numFmtId="0" fontId="4" fillId="7" borderId="33" xfId="0" applyFont="1" applyFill="1" applyBorder="1" applyAlignment="1">
      <alignment horizontal="center" vertical="center"/>
    </xf>
    <xf numFmtId="165" fontId="12" fillId="4" borderId="16" xfId="0" applyNumberFormat="1" applyFont="1" applyFill="1" applyBorder="1" applyAlignment="1">
      <alignment horizontal="center" vertical="center"/>
    </xf>
    <xf numFmtId="0" fontId="4" fillId="6" borderId="32" xfId="0" applyFont="1" applyFill="1" applyBorder="1" applyAlignment="1">
      <alignment vertical="center"/>
    </xf>
    <xf numFmtId="0" fontId="4" fillId="6" borderId="16" xfId="0" applyFont="1" applyFill="1" applyBorder="1" applyAlignment="1">
      <alignment vertical="center"/>
    </xf>
    <xf numFmtId="165" fontId="12" fillId="6" borderId="16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/>
    </xf>
    <xf numFmtId="10" fontId="12" fillId="4" borderId="16" xfId="0" applyNumberFormat="1" applyFont="1" applyFill="1" applyBorder="1" applyAlignment="1">
      <alignment horizontal="center" vertical="center"/>
    </xf>
    <xf numFmtId="0" fontId="4" fillId="7" borderId="35" xfId="0" applyFont="1" applyFill="1" applyBorder="1" applyAlignment="1">
      <alignment vertical="center" wrapText="1"/>
    </xf>
    <xf numFmtId="0" fontId="4" fillId="7" borderId="36" xfId="0" applyFont="1" applyFill="1" applyBorder="1" applyAlignment="1">
      <alignment vertical="center" wrapText="1"/>
    </xf>
    <xf numFmtId="0" fontId="4" fillId="7" borderId="37" xfId="0" applyFont="1" applyFill="1" applyBorder="1" applyAlignment="1">
      <alignment vertical="center" wrapText="1"/>
    </xf>
    <xf numFmtId="0" fontId="4" fillId="7" borderId="38" xfId="0" applyFont="1" applyFill="1" applyBorder="1" applyAlignment="1">
      <alignment vertical="center" wrapText="1"/>
    </xf>
    <xf numFmtId="0" fontId="4" fillId="7" borderId="39" xfId="0" applyFont="1" applyFill="1" applyBorder="1" applyAlignment="1">
      <alignment vertical="center" wrapText="1"/>
    </xf>
    <xf numFmtId="0" fontId="4" fillId="7" borderId="40" xfId="0" applyFont="1" applyFill="1" applyBorder="1" applyAlignment="1">
      <alignment vertical="center" wrapText="1"/>
    </xf>
    <xf numFmtId="0" fontId="4" fillId="7" borderId="41" xfId="0" applyFont="1" applyFill="1" applyBorder="1" applyAlignment="1">
      <alignment vertical="center" wrapText="1"/>
    </xf>
    <xf numFmtId="0" fontId="4" fillId="7" borderId="42" xfId="0" applyFont="1" applyFill="1" applyBorder="1" applyAlignment="1">
      <alignment vertical="center" wrapText="1"/>
    </xf>
    <xf numFmtId="0" fontId="11" fillId="8" borderId="1" xfId="0" applyFont="1" applyFill="1" applyBorder="1" applyAlignment="1">
      <alignment vertical="center" wrapText="1"/>
    </xf>
    <xf numFmtId="0" fontId="11" fillId="8" borderId="2" xfId="0" applyFont="1" applyFill="1" applyBorder="1" applyAlignment="1">
      <alignment vertical="center" wrapText="1"/>
    </xf>
    <xf numFmtId="0" fontId="11" fillId="8" borderId="3" xfId="0" applyFont="1" applyFill="1" applyBorder="1" applyAlignment="1">
      <alignment vertical="center" wrapText="1"/>
    </xf>
    <xf numFmtId="0" fontId="11" fillId="8" borderId="7" xfId="0" applyFont="1" applyFill="1" applyBorder="1" applyAlignment="1">
      <alignment vertical="center" wrapText="1"/>
    </xf>
    <xf numFmtId="0" fontId="11" fillId="8" borderId="0" xfId="0" applyFont="1" applyFill="1" applyAlignment="1">
      <alignment vertical="center" wrapText="1"/>
    </xf>
    <xf numFmtId="0" fontId="11" fillId="8" borderId="8" xfId="0" applyFont="1" applyFill="1" applyBorder="1" applyAlignment="1">
      <alignment vertical="center" wrapText="1"/>
    </xf>
    <xf numFmtId="0" fontId="11" fillId="8" borderId="4" xfId="0" applyFont="1" applyFill="1" applyBorder="1" applyAlignment="1">
      <alignment vertical="center" wrapText="1"/>
    </xf>
    <xf numFmtId="0" fontId="11" fillId="8" borderId="5" xfId="0" applyFont="1" applyFill="1" applyBorder="1" applyAlignment="1">
      <alignment vertical="center" wrapText="1"/>
    </xf>
    <xf numFmtId="0" fontId="11" fillId="8" borderId="6" xfId="0" applyFont="1" applyFill="1" applyBorder="1" applyAlignment="1">
      <alignment vertical="center" wrapText="1"/>
    </xf>
  </cellXfs>
  <cellStyles count="1">
    <cellStyle name="Normal" xfId="0" builtinId="0"/>
  </cellStyles>
  <dxfs count="6">
    <dxf>
      <font>
        <b/>
        <color rgb="FFB42318"/>
      </font>
      <fill>
        <patternFill patternType="solid">
          <bgColor rgb="FFFCE8E6"/>
        </patternFill>
      </fill>
    </dxf>
    <dxf>
      <font>
        <b/>
        <color rgb="FF1E6B45"/>
      </font>
      <fill>
        <patternFill patternType="solid">
          <bgColor rgb="FFE2F0D9"/>
        </patternFill>
      </fill>
    </dxf>
    <dxf>
      <font>
        <b/>
        <color rgb="FF0B1F33"/>
      </font>
      <fill>
        <patternFill patternType="solid">
          <bgColor rgb="FFFFF2CC"/>
        </patternFill>
      </fill>
    </dxf>
    <dxf>
      <font>
        <b/>
        <color rgb="FF667085"/>
      </font>
      <fill>
        <patternFill patternType="solid">
          <bgColor rgb="FFF2F4F7"/>
        </patternFill>
      </fill>
    </dxf>
    <dxf>
      <font>
        <b/>
        <color rgb="FFD97706"/>
      </font>
      <fill>
        <patternFill patternType="solid">
          <bgColor rgb="FFFFF2CC"/>
        </patternFill>
      </fill>
    </dxf>
    <dxf>
      <font>
        <b/>
        <color rgb="FF1E6B45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eerComparabilityTable" displayName="PeerComparabilityTable" ref="A6:G17" totalsRowShown="0">
  <tableColumns count="7">
    <tableColumn id="1" xr3:uid="{00000000-0010-0000-0000-000001000000}" name="Metric"/>
    <tableColumn id="2" xr3:uid="{00000000-0010-0000-0000-000002000000}" name="Accenture"/>
    <tableColumn id="3" xr3:uid="{00000000-0010-0000-0000-000003000000}" name="Capgemini"/>
    <tableColumn id="4" xr3:uid="{00000000-0010-0000-0000-000004000000}" name="CGI"/>
    <tableColumn id="5" xr3:uid="{00000000-0010-0000-0000-000005000000}" name="TCS"/>
    <tableColumn id="6" xr3:uid="{00000000-0010-0000-0000-000006000000}" name="Benchmark Type"/>
    <tableColumn id="7" xr3:uid="{00000000-0010-0000-0000-000007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NormalizationRulesTable" displayName="NormalizationRulesTable" ref="A6:E18" totalsRowShown="0">
  <tableColumns count="5">
    <tableColumn id="1" xr3:uid="{00000000-0010-0000-0100-000001000000}" name="Company"/>
    <tableColumn id="2" xr3:uid="{00000000-0010-0000-0100-000002000000}" name="Raw Disclosure Issue"/>
    <tableColumn id="3" xr3:uid="{00000000-0010-0000-0100-000003000000}" name="Normalized Treatment"/>
    <tableColumn id="4" xr3:uid="{00000000-0010-0000-0100-000004000000}" name="Metrics Affected"/>
    <tableColumn id="5" xr3:uid="{00000000-0010-0000-0100-000005000000}" name="Reas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NTTHistoricalTable" displayName="NTTHistoricalTable" ref="A6:J14" totalsRowShown="0">
  <tableColumns count="10">
    <tableColumn id="1" xr3:uid="{00000000-0010-0000-0200-000001000000}" name="FY"/>
    <tableColumn id="2" xr3:uid="{00000000-0010-0000-0200-000002000000}" name="DSO"/>
    <tableColumn id="3" xr3:uid="{00000000-0010-0000-0200-000003000000}" name="Contract Asset Days"/>
    <tableColumn id="4" xr3:uid="{00000000-0010-0000-0200-000004000000}" name="DIO"/>
    <tableColumn id="5" xr3:uid="{00000000-0010-0000-0200-000005000000}" name="DPO"/>
    <tableColumn id="6" xr3:uid="{00000000-0010-0000-0200-000006000000}" name="Contract Liability Days"/>
    <tableColumn id="7" xr3:uid="{00000000-0010-0000-0200-000007000000}" name="Traditional CCC"/>
    <tableColumn id="8" xr3:uid="{00000000-0010-0000-0200-000008000000}" name="Adjusted CCC"/>
    <tableColumn id="9" xr3:uid="{00000000-0010-0000-0200-000009000000}" name="OWC / Revenue"/>
    <tableColumn id="10" xr3:uid="{00000000-0010-0000-0200-00000A000000}" name="CFO / Std EBITD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eerBenchmarkDetailTable" displayName="PeerBenchmarkDetailTable" ref="A6:I36" totalsRowShown="0">
  <tableColumns count="9">
    <tableColumn id="1" xr3:uid="{00000000-0010-0000-0300-000001000000}" name="Metric"/>
    <tableColumn id="2" xr3:uid="{00000000-0010-0000-0300-000002000000}" name="Company"/>
    <tableColumn id="3" xr3:uid="{00000000-0010-0000-0300-000003000000}" name="Latest Clean"/>
    <tableColumn id="4" xr3:uid="{00000000-0010-0000-0300-000004000000}" name="Clean Median"/>
    <tableColumn id="5" xr3:uid="{00000000-0010-0000-0300-000005000000}" name="Clean Mean"/>
    <tableColumn id="6" xr3:uid="{00000000-0010-0000-0300-000006000000}" name="Minimum"/>
    <tableColumn id="7" xr3:uid="{00000000-0010-0000-0300-000007000000}" name="Maximum"/>
    <tableColumn id="8" xr3:uid="{00000000-0010-0000-0300-000008000000}" name="N"/>
    <tableColumn id="9" xr3:uid="{00000000-0010-0000-0300-000009000000}" name="Clean Window / Basi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OpportunityScenarioTable" displayName="OpportunityScenarioTable" ref="A32:F36" totalsRowShown="0">
  <tableColumns count="6">
    <tableColumn id="1" xr3:uid="{00000000-0010-0000-0400-000001000000}" name="Scenario"/>
    <tableColumn id="2" xr3:uid="{00000000-0010-0000-0400-000002000000}" name="Gap Closed"/>
    <tableColumn id="3" xr3:uid="{00000000-0010-0000-0400-000003000000}" name="DSO Improvement"/>
    <tableColumn id="4" xr3:uid="{00000000-0010-0000-0400-000004000000}" name="Resulting DSO"/>
    <tableColumn id="5" xr3:uid="{00000000-0010-0000-0400-000005000000}" name="Cash Release (¥bn)"/>
    <tableColumn id="6" xr3:uid="{00000000-0010-0000-0400-000006000000}" name="Financing Benefit — 100% Utilization (¥bn/year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ourceRegisterTable" displayName="SourceRegisterTable" ref="A6:I66" totalsRowShown="0">
  <tableColumns count="9">
    <tableColumn id="1" xr3:uid="{00000000-0010-0000-0500-000001000000}" name="ID"/>
    <tableColumn id="2" xr3:uid="{00000000-0010-0000-0500-000002000000}" name="Company"/>
    <tableColumn id="3" xr3:uid="{00000000-0010-0000-0500-000003000000}" name="Metric / Data Item"/>
    <tableColumn id="4" xr3:uid="{00000000-0010-0000-0500-000004000000}" name="Fiscal Year"/>
    <tableColumn id="5" xr3:uid="{00000000-0010-0000-0500-000005000000}" name="Source Document"/>
    <tableColumn id="6" xr3:uid="{00000000-0010-0000-0500-000006000000}" name="Source Location / Page"/>
    <tableColumn id="7" xr3:uid="{00000000-0010-0000-0500-000007000000}" name="Source URL if available"/>
    <tableColumn id="8" xr3:uid="{00000000-0010-0000-0500-000008000000}" name="Used In"/>
    <tableColumn id="9" xr3:uid="{00000000-0010-0000-0500-000009000000}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AppendixQATable" displayName="AppendixQATable" ref="A6:D26" totalsRowShown="0">
  <tableColumns count="4">
    <tableColumn id="1" xr3:uid="{00000000-0010-0000-0600-000001000000}" name="Review Area"/>
    <tableColumn id="2" xr3:uid="{00000000-0010-0000-0600-000002000000}" name="Test"/>
    <tableColumn id="3" xr3:uid="{00000000-0010-0000-0600-000003000000}" name="Result"/>
    <tableColumn id="4" xr3:uid="{00000000-0010-0000-0600-000004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8"/>
  </sheetPr>
  <dimension ref="A1:I35"/>
  <sheetViews>
    <sheetView showGridLines="0" workbookViewId="0">
      <pane ySplit="6" topLeftCell="A27" activePane="bottomLeft" state="frozen"/>
      <selection pane="bottomLeft"/>
    </sheetView>
  </sheetViews>
  <sheetFormatPr defaultRowHeight="14"/>
  <cols>
    <col min="1" max="1" width="20" customWidth="1"/>
    <col min="2" max="2" width="27" customWidth="1"/>
    <col min="3" max="3" width="54" customWidth="1"/>
    <col min="4" max="4" width="36" customWidth="1"/>
    <col min="5" max="5" width="58" customWidth="1"/>
    <col min="6" max="8" width="3" customWidth="1"/>
    <col min="9" max="9" width="18" customWidth="1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 ht="25" customHeight="1">
      <c r="A2" s="8" t="s">
        <v>1</v>
      </c>
      <c r="B2" s="9"/>
      <c r="C2" s="9"/>
      <c r="D2" s="9"/>
      <c r="E2" s="9"/>
      <c r="F2" s="9"/>
      <c r="G2" s="9"/>
      <c r="H2" s="9"/>
      <c r="I2" s="11" t="str">
        <f>HYPERLINK("#'Home'!A1","← Back to Home")</f>
        <v>← Back to Home</v>
      </c>
    </row>
    <row r="3" spans="1:9" ht="20" customHeight="1">
      <c r="A3" s="10" t="s">
        <v>2</v>
      </c>
      <c r="B3" s="1"/>
      <c r="C3" s="1"/>
      <c r="D3" s="1"/>
      <c r="E3" s="1"/>
      <c r="F3" s="1"/>
      <c r="G3" s="1"/>
      <c r="H3" s="1"/>
      <c r="I3" s="1"/>
    </row>
    <row r="4" spans="1:9">
      <c r="A4" s="12" t="str">
        <f>HYPERLINK("#'A8 - Sources'!A1","Source register ↗")</f>
        <v>Source register ↗</v>
      </c>
      <c r="B4" s="1"/>
      <c r="C4" s="1"/>
      <c r="D4" s="1"/>
      <c r="E4" s="1"/>
      <c r="F4" s="1"/>
      <c r="G4" s="1"/>
      <c r="H4" s="1"/>
      <c r="I4" s="1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 ht="34" customHeight="1">
      <c r="A6" s="13" t="s">
        <v>3</v>
      </c>
      <c r="B6" s="14" t="s">
        <v>4</v>
      </c>
      <c r="C6" s="14" t="s">
        <v>5</v>
      </c>
      <c r="D6" s="14" t="s">
        <v>6</v>
      </c>
      <c r="E6" s="15" t="s">
        <v>7</v>
      </c>
      <c r="F6" s="1"/>
      <c r="G6" s="1"/>
      <c r="H6" s="1"/>
      <c r="I6" s="1"/>
    </row>
    <row r="7" spans="1:9" ht="34" customHeight="1">
      <c r="A7" s="16" t="s">
        <v>8</v>
      </c>
      <c r="B7" s="16" t="s">
        <v>9</v>
      </c>
      <c r="C7" s="16" t="s">
        <v>10</v>
      </c>
      <c r="D7" s="16" t="s">
        <v>11</v>
      </c>
      <c r="E7" s="16" t="s">
        <v>12</v>
      </c>
      <c r="F7" s="1"/>
      <c r="G7" s="1"/>
      <c r="H7" s="1"/>
      <c r="I7" s="1"/>
    </row>
    <row r="8" spans="1:9" ht="34" customHeight="1">
      <c r="A8" s="18" t="s">
        <v>13</v>
      </c>
      <c r="B8" s="18" t="s">
        <v>14</v>
      </c>
      <c r="C8" s="18" t="s">
        <v>15</v>
      </c>
      <c r="D8" s="18" t="s">
        <v>16</v>
      </c>
      <c r="E8" s="18" t="s">
        <v>17</v>
      </c>
      <c r="F8" s="1"/>
      <c r="G8" s="1"/>
      <c r="H8" s="1"/>
      <c r="I8" s="1"/>
    </row>
    <row r="9" spans="1:9" ht="34" customHeight="1">
      <c r="A9" s="17" t="s">
        <v>18</v>
      </c>
      <c r="B9" s="17" t="s">
        <v>19</v>
      </c>
      <c r="C9" s="17" t="s">
        <v>20</v>
      </c>
      <c r="D9" s="17" t="s">
        <v>21</v>
      </c>
      <c r="E9" s="17" t="s">
        <v>22</v>
      </c>
      <c r="F9" s="1"/>
      <c r="G9" s="1"/>
      <c r="H9" s="1"/>
      <c r="I9" s="1"/>
    </row>
    <row r="10" spans="1:9" ht="34" customHeight="1">
      <c r="A10" s="18" t="s">
        <v>23</v>
      </c>
      <c r="B10" s="18" t="s">
        <v>24</v>
      </c>
      <c r="C10" s="18" t="s">
        <v>25</v>
      </c>
      <c r="D10" s="18" t="s">
        <v>26</v>
      </c>
      <c r="E10" s="18" t="s">
        <v>27</v>
      </c>
      <c r="F10" s="1"/>
      <c r="G10" s="1"/>
      <c r="H10" s="1"/>
      <c r="I10" s="1"/>
    </row>
    <row r="11" spans="1:9" ht="34" customHeight="1">
      <c r="A11" s="17" t="s">
        <v>28</v>
      </c>
      <c r="B11" s="17" t="s">
        <v>29</v>
      </c>
      <c r="C11" s="17" t="s">
        <v>30</v>
      </c>
      <c r="D11" s="17" t="s">
        <v>31</v>
      </c>
      <c r="E11" s="17" t="s">
        <v>32</v>
      </c>
      <c r="F11" s="1"/>
      <c r="G11" s="1"/>
      <c r="H11" s="1"/>
      <c r="I11" s="1"/>
    </row>
    <row r="12" spans="1:9" ht="34" customHeight="1">
      <c r="A12" s="18" t="s">
        <v>33</v>
      </c>
      <c r="B12" s="18" t="s">
        <v>34</v>
      </c>
      <c r="C12" s="18" t="s">
        <v>35</v>
      </c>
      <c r="D12" s="18" t="s">
        <v>36</v>
      </c>
      <c r="E12" s="18" t="s">
        <v>37</v>
      </c>
      <c r="F12" s="1"/>
      <c r="G12" s="1"/>
      <c r="H12" s="1"/>
      <c r="I12" s="1"/>
    </row>
    <row r="13" spans="1:9" ht="34" customHeight="1">
      <c r="A13" s="17" t="s">
        <v>38</v>
      </c>
      <c r="B13" s="17" t="s">
        <v>39</v>
      </c>
      <c r="C13" s="17" t="s">
        <v>40</v>
      </c>
      <c r="D13" s="17" t="s">
        <v>41</v>
      </c>
      <c r="E13" s="17" t="s">
        <v>42</v>
      </c>
      <c r="F13" s="1"/>
      <c r="G13" s="1"/>
      <c r="H13" s="1"/>
      <c r="I13" s="1"/>
    </row>
    <row r="14" spans="1:9" ht="34" customHeight="1">
      <c r="A14" s="18" t="s">
        <v>38</v>
      </c>
      <c r="B14" s="18" t="s">
        <v>43</v>
      </c>
      <c r="C14" s="18" t="s">
        <v>44</v>
      </c>
      <c r="D14" s="18" t="s">
        <v>45</v>
      </c>
      <c r="E14" s="18" t="s">
        <v>46</v>
      </c>
      <c r="F14" s="1"/>
      <c r="G14" s="1"/>
      <c r="H14" s="1"/>
      <c r="I14" s="1"/>
    </row>
    <row r="15" spans="1:9" ht="34" customHeight="1">
      <c r="A15" s="17" t="s">
        <v>47</v>
      </c>
      <c r="B15" s="17" t="s">
        <v>48</v>
      </c>
      <c r="C15" s="17" t="s">
        <v>49</v>
      </c>
      <c r="D15" s="17" t="s">
        <v>50</v>
      </c>
      <c r="E15" s="17" t="s">
        <v>51</v>
      </c>
      <c r="F15" s="1"/>
      <c r="G15" s="1"/>
      <c r="H15" s="1"/>
      <c r="I15" s="1"/>
    </row>
    <row r="16" spans="1:9" ht="34" customHeight="1">
      <c r="A16" s="18" t="s">
        <v>47</v>
      </c>
      <c r="B16" s="18" t="s">
        <v>52</v>
      </c>
      <c r="C16" s="18" t="s">
        <v>53</v>
      </c>
      <c r="D16" s="18" t="s">
        <v>54</v>
      </c>
      <c r="E16" s="18" t="s">
        <v>55</v>
      </c>
      <c r="F16" s="1"/>
      <c r="G16" s="1"/>
      <c r="H16" s="1"/>
      <c r="I16" s="1"/>
    </row>
    <row r="17" spans="1:9" ht="34" customHeight="1">
      <c r="A17" s="17" t="s">
        <v>56</v>
      </c>
      <c r="B17" s="17" t="s">
        <v>57</v>
      </c>
      <c r="C17" s="17" t="s">
        <v>58</v>
      </c>
      <c r="D17" s="17" t="s">
        <v>59</v>
      </c>
      <c r="E17" s="17" t="s">
        <v>60</v>
      </c>
      <c r="F17" s="1"/>
      <c r="G17" s="1"/>
      <c r="H17" s="1"/>
      <c r="I17" s="1"/>
    </row>
    <row r="18" spans="1:9" ht="34" customHeight="1">
      <c r="A18" s="18" t="s">
        <v>56</v>
      </c>
      <c r="B18" s="18" t="s">
        <v>61</v>
      </c>
      <c r="C18" s="18" t="s">
        <v>62</v>
      </c>
      <c r="D18" s="18" t="s">
        <v>63</v>
      </c>
      <c r="E18" s="18" t="s">
        <v>64</v>
      </c>
      <c r="F18" s="1"/>
      <c r="G18" s="1"/>
      <c r="H18" s="1"/>
      <c r="I18" s="1"/>
    </row>
    <row r="19" spans="1:9" ht="34" customHeight="1">
      <c r="A19" s="17" t="s">
        <v>56</v>
      </c>
      <c r="B19" s="17" t="s">
        <v>65</v>
      </c>
      <c r="C19" s="17" t="s">
        <v>66</v>
      </c>
      <c r="D19" s="17" t="s">
        <v>67</v>
      </c>
      <c r="E19" s="17" t="s">
        <v>68</v>
      </c>
      <c r="F19" s="1"/>
      <c r="G19" s="1"/>
      <c r="H19" s="1"/>
      <c r="I19" s="1"/>
    </row>
    <row r="20" spans="1:9" ht="34" customHeight="1">
      <c r="A20" s="18" t="s">
        <v>56</v>
      </c>
      <c r="B20" s="18" t="s">
        <v>69</v>
      </c>
      <c r="C20" s="18" t="s">
        <v>70</v>
      </c>
      <c r="D20" s="18" t="s">
        <v>67</v>
      </c>
      <c r="E20" s="18" t="s">
        <v>71</v>
      </c>
      <c r="F20" s="1"/>
      <c r="G20" s="1"/>
      <c r="H20" s="1"/>
      <c r="I20" s="1"/>
    </row>
    <row r="21" spans="1:9" ht="34" customHeight="1">
      <c r="A21" s="17" t="s">
        <v>72</v>
      </c>
      <c r="B21" s="17" t="s">
        <v>73</v>
      </c>
      <c r="C21" s="17" t="s">
        <v>74</v>
      </c>
      <c r="D21" s="17" t="s">
        <v>75</v>
      </c>
      <c r="E21" s="17" t="s">
        <v>76</v>
      </c>
      <c r="F21" s="1"/>
      <c r="G21" s="1"/>
      <c r="H21" s="1"/>
      <c r="I21" s="1"/>
    </row>
    <row r="22" spans="1:9" ht="34" customHeight="1">
      <c r="A22" s="18" t="s">
        <v>72</v>
      </c>
      <c r="B22" s="18" t="s">
        <v>77</v>
      </c>
      <c r="C22" s="18" t="s">
        <v>78</v>
      </c>
      <c r="D22" s="18" t="s">
        <v>79</v>
      </c>
      <c r="E22" s="18" t="s">
        <v>80</v>
      </c>
      <c r="F22" s="1"/>
      <c r="G22" s="1"/>
      <c r="H22" s="1"/>
      <c r="I22" s="1"/>
    </row>
    <row r="23" spans="1:9" ht="34" customHeight="1">
      <c r="A23" s="17" t="s">
        <v>72</v>
      </c>
      <c r="B23" s="17" t="s">
        <v>81</v>
      </c>
      <c r="C23" s="17" t="s">
        <v>82</v>
      </c>
      <c r="D23" s="17" t="s">
        <v>83</v>
      </c>
      <c r="E23" s="17" t="s">
        <v>84</v>
      </c>
      <c r="F23" s="1"/>
      <c r="G23" s="1"/>
      <c r="H23" s="1"/>
      <c r="I23" s="1"/>
    </row>
    <row r="24" spans="1:9" ht="34" customHeight="1">
      <c r="A24" s="18" t="s">
        <v>72</v>
      </c>
      <c r="B24" s="18" t="s">
        <v>85</v>
      </c>
      <c r="C24" s="18" t="s">
        <v>86</v>
      </c>
      <c r="D24" s="18" t="s">
        <v>87</v>
      </c>
      <c r="E24" s="18" t="s">
        <v>88</v>
      </c>
      <c r="F24" s="1"/>
      <c r="G24" s="1"/>
      <c r="H24" s="1"/>
      <c r="I24" s="1"/>
    </row>
    <row r="25" spans="1:9" ht="34" customHeight="1">
      <c r="A25" s="17" t="s">
        <v>72</v>
      </c>
      <c r="B25" s="17" t="s">
        <v>89</v>
      </c>
      <c r="C25" s="17" t="s">
        <v>90</v>
      </c>
      <c r="D25" s="17" t="s">
        <v>91</v>
      </c>
      <c r="E25" s="17" t="s">
        <v>92</v>
      </c>
      <c r="F25" s="1"/>
      <c r="G25" s="1"/>
      <c r="H25" s="1"/>
      <c r="I25" s="1"/>
    </row>
    <row r="26" spans="1:9" ht="34" customHeight="1">
      <c r="A26" s="18" t="s">
        <v>93</v>
      </c>
      <c r="B26" s="18" t="s">
        <v>94</v>
      </c>
      <c r="C26" s="18" t="s">
        <v>95</v>
      </c>
      <c r="D26" s="18" t="s">
        <v>96</v>
      </c>
      <c r="E26" s="18" t="s">
        <v>97</v>
      </c>
      <c r="F26" s="1"/>
      <c r="G26" s="1"/>
      <c r="H26" s="1"/>
      <c r="I26" s="1"/>
    </row>
    <row r="27" spans="1:9" ht="34" customHeight="1">
      <c r="A27" s="17" t="s">
        <v>93</v>
      </c>
      <c r="B27" s="17" t="s">
        <v>98</v>
      </c>
      <c r="C27" s="17" t="s">
        <v>99</v>
      </c>
      <c r="D27" s="17" t="s">
        <v>100</v>
      </c>
      <c r="E27" s="17" t="s">
        <v>101</v>
      </c>
      <c r="F27" s="1"/>
      <c r="G27" s="1"/>
      <c r="H27" s="1"/>
      <c r="I27" s="1"/>
    </row>
    <row r="28" spans="1:9" ht="34" customHeight="1">
      <c r="A28" s="18" t="s">
        <v>93</v>
      </c>
      <c r="B28" s="18" t="s">
        <v>102</v>
      </c>
      <c r="C28" s="18" t="s">
        <v>103</v>
      </c>
      <c r="D28" s="18" t="s">
        <v>104</v>
      </c>
      <c r="E28" s="18" t="s">
        <v>105</v>
      </c>
      <c r="F28" s="1"/>
      <c r="G28" s="1"/>
      <c r="H28" s="1"/>
      <c r="I28" s="1"/>
    </row>
    <row r="29" spans="1:9" ht="34" customHeight="1">
      <c r="A29" s="17" t="s">
        <v>93</v>
      </c>
      <c r="B29" s="17" t="s">
        <v>106</v>
      </c>
      <c r="C29" s="17" t="s">
        <v>107</v>
      </c>
      <c r="D29" s="17" t="s">
        <v>108</v>
      </c>
      <c r="E29" s="17" t="s">
        <v>109</v>
      </c>
      <c r="F29" s="1"/>
      <c r="G29" s="1"/>
      <c r="H29" s="1"/>
      <c r="I29" s="1"/>
    </row>
    <row r="30" spans="1:9">
      <c r="A30" s="1"/>
      <c r="B30" s="1"/>
      <c r="C30" s="1"/>
      <c r="D30" s="1"/>
      <c r="E30" s="1"/>
      <c r="F30" s="1"/>
      <c r="G30" s="1"/>
      <c r="H30" s="1"/>
      <c r="I30" s="1"/>
    </row>
    <row r="31" spans="1:9">
      <c r="A31" s="61" t="s">
        <v>110</v>
      </c>
      <c r="B31" s="62"/>
      <c r="C31" s="62"/>
      <c r="D31" s="62"/>
      <c r="E31" s="63"/>
      <c r="F31" s="1"/>
      <c r="G31" s="1"/>
      <c r="H31" s="1"/>
      <c r="I31" s="1"/>
    </row>
    <row r="32" spans="1:9">
      <c r="A32" s="64"/>
      <c r="B32" s="65"/>
      <c r="C32" s="65"/>
      <c r="D32" s="65"/>
      <c r="E32" s="66"/>
      <c r="F32" s="1"/>
      <c r="G32" s="1"/>
      <c r="H32" s="1"/>
      <c r="I32" s="1"/>
    </row>
    <row r="33" spans="1:9">
      <c r="A33" s="67"/>
      <c r="B33" s="68"/>
      <c r="C33" s="68"/>
      <c r="D33" s="68"/>
      <c r="E33" s="69"/>
      <c r="F33" s="1"/>
      <c r="G33" s="1"/>
      <c r="H33" s="1"/>
      <c r="I33" s="1"/>
    </row>
    <row r="34" spans="1:9">
      <c r="A34" s="1"/>
      <c r="B34" s="1"/>
      <c r="C34" s="1"/>
      <c r="D34" s="1"/>
      <c r="E34" s="1"/>
      <c r="F34" s="1"/>
      <c r="G34" s="1"/>
      <c r="H34" s="1"/>
      <c r="I34" s="1"/>
    </row>
    <row r="35" spans="1:9">
      <c r="A35" s="1"/>
      <c r="B35" s="1"/>
      <c r="C35" s="1"/>
      <c r="D35" s="1"/>
      <c r="E35" s="1"/>
      <c r="F35" s="1"/>
      <c r="G35" s="1"/>
      <c r="H35" s="1"/>
      <c r="I35" s="1"/>
    </row>
  </sheetData>
  <mergeCells count="1">
    <mergeCell ref="A31:E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8"/>
  </sheetPr>
  <dimension ref="A1:G32"/>
  <sheetViews>
    <sheetView showGridLines="0" workbookViewId="0">
      <pane ySplit="6" topLeftCell="A19" activePane="bottomLeft" state="frozen"/>
      <selection pane="bottomLeft" activeCell="E10" sqref="E10"/>
    </sheetView>
  </sheetViews>
  <sheetFormatPr defaultRowHeight="14"/>
  <cols>
    <col min="1" max="1" width="28" customWidth="1"/>
    <col min="2" max="2" width="44" customWidth="1"/>
    <col min="3" max="3" width="48" customWidth="1"/>
    <col min="4" max="4" width="4" customWidth="1"/>
    <col min="5" max="5" width="18" customWidth="1"/>
    <col min="6" max="7" width="26" customWidth="1"/>
  </cols>
  <sheetData>
    <row r="1" spans="1:7">
      <c r="A1" s="1"/>
      <c r="B1" s="1"/>
      <c r="C1" s="1"/>
      <c r="D1" s="1"/>
      <c r="E1" s="1"/>
      <c r="F1" s="1"/>
      <c r="G1" s="1"/>
    </row>
    <row r="2" spans="1:7" ht="25" customHeight="1" thickBot="1">
      <c r="A2" s="8" t="s">
        <v>111</v>
      </c>
      <c r="B2" s="9"/>
      <c r="C2" s="9"/>
      <c r="D2" s="9"/>
      <c r="E2" s="9"/>
      <c r="F2" s="9"/>
      <c r="G2" s="11" t="str">
        <f>HYPERLINK("#'Home'!A1","← Back to Home")</f>
        <v>← Back to Home</v>
      </c>
    </row>
    <row r="3" spans="1:7" ht="20" customHeight="1">
      <c r="A3" s="10" t="s">
        <v>112</v>
      </c>
      <c r="B3" s="1"/>
      <c r="C3" s="1"/>
      <c r="D3" s="1"/>
      <c r="E3" s="1"/>
      <c r="F3" s="1"/>
      <c r="G3" s="1"/>
    </row>
    <row r="4" spans="1:7">
      <c r="A4" s="12" t="str">
        <f>HYPERLINK("#'A8 - Sources'!A1","Source register ↗")</f>
        <v>Source register ↗</v>
      </c>
      <c r="B4" s="1"/>
      <c r="C4" s="1"/>
      <c r="D4" s="1"/>
      <c r="E4" s="1"/>
      <c r="F4" s="1"/>
      <c r="G4" s="1"/>
    </row>
    <row r="5" spans="1:7">
      <c r="A5" s="1"/>
      <c r="B5" s="1"/>
      <c r="C5" s="1"/>
      <c r="D5" s="1"/>
      <c r="E5" s="1"/>
      <c r="F5" s="1"/>
      <c r="G5" s="1"/>
    </row>
    <row r="6" spans="1:7" ht="34" customHeight="1" thickBot="1">
      <c r="A6" s="13" t="s">
        <v>113</v>
      </c>
      <c r="B6" s="14" t="s">
        <v>114</v>
      </c>
      <c r="C6" s="15" t="s">
        <v>115</v>
      </c>
      <c r="D6" s="1"/>
      <c r="E6" s="1"/>
      <c r="F6" s="1"/>
      <c r="G6" s="1"/>
    </row>
    <row r="7" spans="1:7" ht="32" customHeight="1">
      <c r="A7" s="16" t="s">
        <v>116</v>
      </c>
      <c r="B7" s="16" t="s">
        <v>117</v>
      </c>
      <c r="C7" s="16" t="s">
        <v>118</v>
      </c>
      <c r="D7" s="1"/>
      <c r="E7" s="1"/>
      <c r="F7" s="1"/>
      <c r="G7" s="1"/>
    </row>
    <row r="8" spans="1:7" ht="32" customHeight="1">
      <c r="A8" s="18" t="s">
        <v>14</v>
      </c>
      <c r="B8" s="18" t="s">
        <v>119</v>
      </c>
      <c r="C8" s="18" t="s">
        <v>120</v>
      </c>
      <c r="D8" s="1"/>
      <c r="E8" s="1"/>
      <c r="F8" s="1"/>
      <c r="G8" s="1"/>
    </row>
    <row r="9" spans="1:7" ht="32" customHeight="1">
      <c r="A9" s="17" t="s">
        <v>19</v>
      </c>
      <c r="B9" s="17" t="s">
        <v>121</v>
      </c>
      <c r="C9" s="17" t="s">
        <v>122</v>
      </c>
      <c r="D9" s="1"/>
      <c r="E9" s="1"/>
      <c r="F9" s="1"/>
      <c r="G9" s="1"/>
    </row>
    <row r="10" spans="1:7" ht="32" customHeight="1">
      <c r="A10" s="18" t="s">
        <v>24</v>
      </c>
      <c r="B10" s="18" t="s">
        <v>123</v>
      </c>
      <c r="C10" s="18" t="s">
        <v>124</v>
      </c>
      <c r="D10" s="1"/>
      <c r="E10" s="1"/>
      <c r="F10" s="1"/>
      <c r="G10" s="1"/>
    </row>
    <row r="11" spans="1:7" ht="32" customHeight="1">
      <c r="A11" s="17" t="s">
        <v>29</v>
      </c>
      <c r="B11" s="17" t="s">
        <v>125</v>
      </c>
      <c r="C11" s="17" t="s">
        <v>126</v>
      </c>
      <c r="D11" s="1"/>
      <c r="E11" s="1"/>
      <c r="F11" s="1"/>
      <c r="G11" s="1"/>
    </row>
    <row r="12" spans="1:7" ht="32" customHeight="1">
      <c r="A12" s="18" t="s">
        <v>34</v>
      </c>
      <c r="B12" s="18" t="s">
        <v>127</v>
      </c>
      <c r="C12" s="18" t="s">
        <v>128</v>
      </c>
      <c r="D12" s="1"/>
      <c r="E12" s="1"/>
      <c r="F12" s="1"/>
      <c r="G12" s="1"/>
    </row>
    <row r="13" spans="1:7" ht="32" customHeight="1">
      <c r="A13" s="17" t="s">
        <v>39</v>
      </c>
      <c r="B13" s="17" t="s">
        <v>40</v>
      </c>
      <c r="C13" s="17" t="s">
        <v>129</v>
      </c>
      <c r="D13" s="1"/>
      <c r="E13" s="1"/>
      <c r="F13" s="1"/>
      <c r="G13" s="1"/>
    </row>
    <row r="14" spans="1:7" ht="32" customHeight="1">
      <c r="A14" s="18" t="s">
        <v>43</v>
      </c>
      <c r="B14" s="18" t="s">
        <v>130</v>
      </c>
      <c r="C14" s="18" t="s">
        <v>131</v>
      </c>
      <c r="D14" s="1"/>
      <c r="E14" s="1"/>
      <c r="F14" s="1"/>
      <c r="G14" s="1"/>
    </row>
    <row r="15" spans="1:7" ht="32" customHeight="1">
      <c r="A15" s="17" t="s">
        <v>48</v>
      </c>
      <c r="B15" s="17" t="s">
        <v>132</v>
      </c>
      <c r="C15" s="17" t="s">
        <v>133</v>
      </c>
      <c r="D15" s="1"/>
      <c r="E15" s="1"/>
      <c r="F15" s="1"/>
      <c r="G15" s="1"/>
    </row>
    <row r="16" spans="1:7" ht="32" customHeight="1">
      <c r="A16" s="18" t="s">
        <v>52</v>
      </c>
      <c r="B16" s="18" t="s">
        <v>134</v>
      </c>
      <c r="C16" s="18" t="s">
        <v>135</v>
      </c>
      <c r="D16" s="1"/>
      <c r="E16" s="1"/>
      <c r="F16" s="1"/>
      <c r="G16" s="1"/>
    </row>
    <row r="17" spans="1:7" ht="32" customHeight="1">
      <c r="A17" s="17" t="s">
        <v>57</v>
      </c>
      <c r="B17" s="17" t="s">
        <v>136</v>
      </c>
      <c r="C17" s="17" t="s">
        <v>137</v>
      </c>
      <c r="D17" s="1"/>
      <c r="E17" s="1"/>
      <c r="F17" s="1"/>
      <c r="G17" s="1"/>
    </row>
    <row r="18" spans="1:7" ht="32" customHeight="1">
      <c r="A18" s="18" t="s">
        <v>61</v>
      </c>
      <c r="B18" s="18" t="s">
        <v>138</v>
      </c>
      <c r="C18" s="18" t="s">
        <v>139</v>
      </c>
      <c r="D18" s="1"/>
      <c r="E18" s="1"/>
      <c r="F18" s="1"/>
      <c r="G18" s="1"/>
    </row>
    <row r="19" spans="1:7" ht="32" customHeight="1">
      <c r="A19" s="17" t="s">
        <v>140</v>
      </c>
      <c r="B19" s="17" t="s">
        <v>141</v>
      </c>
      <c r="C19" s="17" t="s">
        <v>142</v>
      </c>
      <c r="D19" s="1"/>
      <c r="E19" s="1"/>
      <c r="F19" s="1"/>
      <c r="G19" s="1"/>
    </row>
    <row r="20" spans="1:7" ht="32" customHeight="1">
      <c r="A20" s="18" t="s">
        <v>143</v>
      </c>
      <c r="B20" s="18" t="s">
        <v>144</v>
      </c>
      <c r="C20" s="18" t="s">
        <v>145</v>
      </c>
      <c r="D20" s="1"/>
      <c r="E20" s="1"/>
      <c r="F20" s="1"/>
      <c r="G20" s="1"/>
    </row>
    <row r="21" spans="1:7" ht="32" customHeight="1">
      <c r="A21" s="17" t="s">
        <v>146</v>
      </c>
      <c r="B21" s="17" t="s">
        <v>147</v>
      </c>
      <c r="C21" s="17" t="s">
        <v>148</v>
      </c>
      <c r="D21" s="1"/>
      <c r="E21" s="1"/>
      <c r="F21" s="1"/>
      <c r="G21" s="1"/>
    </row>
    <row r="22" spans="1:7" ht="32" customHeight="1">
      <c r="A22" s="18" t="s">
        <v>149</v>
      </c>
      <c r="B22" s="18" t="s">
        <v>150</v>
      </c>
      <c r="C22" s="18" t="s">
        <v>151</v>
      </c>
      <c r="D22" s="1"/>
      <c r="E22" s="1"/>
      <c r="F22" s="1"/>
      <c r="G22" s="1"/>
    </row>
    <row r="23" spans="1:7" ht="32" customHeight="1">
      <c r="A23" s="17" t="s">
        <v>81</v>
      </c>
      <c r="B23" s="17" t="s">
        <v>152</v>
      </c>
      <c r="C23" s="17" t="s">
        <v>153</v>
      </c>
      <c r="D23" s="1"/>
      <c r="E23" s="1"/>
      <c r="F23" s="1"/>
      <c r="G23" s="1"/>
    </row>
    <row r="24" spans="1:7" ht="32" customHeight="1">
      <c r="A24" s="18" t="s">
        <v>154</v>
      </c>
      <c r="B24" s="18" t="s">
        <v>155</v>
      </c>
      <c r="C24" s="18" t="s">
        <v>156</v>
      </c>
      <c r="D24" s="1"/>
      <c r="E24" s="1"/>
      <c r="F24" s="1"/>
      <c r="G24" s="1"/>
    </row>
    <row r="25" spans="1:7" ht="32" customHeight="1">
      <c r="A25" s="17" t="s">
        <v>157</v>
      </c>
      <c r="B25" s="17" t="s">
        <v>158</v>
      </c>
      <c r="C25" s="17" t="s">
        <v>159</v>
      </c>
      <c r="D25" s="1"/>
      <c r="E25" s="1"/>
      <c r="F25" s="1"/>
      <c r="G25" s="1"/>
    </row>
    <row r="26" spans="1:7" ht="32" customHeight="1">
      <c r="A26" s="18" t="s">
        <v>160</v>
      </c>
      <c r="B26" s="18" t="s">
        <v>161</v>
      </c>
      <c r="C26" s="18" t="s">
        <v>162</v>
      </c>
      <c r="D26" s="1"/>
      <c r="E26" s="1"/>
      <c r="F26" s="1"/>
      <c r="G26" s="1"/>
    </row>
    <row r="27" spans="1:7" ht="32" customHeight="1">
      <c r="A27" s="17" t="s">
        <v>163</v>
      </c>
      <c r="B27" s="17" t="s">
        <v>164</v>
      </c>
      <c r="C27" s="17" t="s">
        <v>165</v>
      </c>
      <c r="D27" s="1"/>
      <c r="E27" s="1"/>
      <c r="F27" s="1"/>
      <c r="G27" s="1"/>
    </row>
    <row r="28" spans="1:7">
      <c r="A28" s="1"/>
      <c r="B28" s="1"/>
      <c r="C28" s="1"/>
      <c r="D28" s="1"/>
      <c r="E28" s="1"/>
      <c r="F28" s="1"/>
      <c r="G28" s="1"/>
    </row>
    <row r="29" spans="1:7">
      <c r="A29" s="1"/>
      <c r="B29" s="1"/>
      <c r="C29" s="1"/>
      <c r="D29" s="1"/>
      <c r="E29" s="1"/>
      <c r="F29" s="1"/>
      <c r="G29" s="1"/>
    </row>
    <row r="30" spans="1:7">
      <c r="A30" s="1"/>
      <c r="B30" s="1"/>
      <c r="C30" s="1"/>
      <c r="D30" s="1"/>
      <c r="E30" s="1"/>
      <c r="F30" s="1"/>
      <c r="G30" s="1"/>
    </row>
    <row r="31" spans="1:7">
      <c r="A31" s="1"/>
      <c r="B31" s="1"/>
      <c r="C31" s="1"/>
      <c r="D31" s="1"/>
      <c r="E31" s="1"/>
      <c r="F31" s="1"/>
      <c r="G31" s="1"/>
    </row>
    <row r="32" spans="1:7">
      <c r="A32" s="1"/>
      <c r="B32" s="1"/>
      <c r="C32" s="1"/>
      <c r="D32" s="1"/>
      <c r="E32" s="1"/>
      <c r="F32" s="1"/>
      <c r="G3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A7F8E"/>
  </sheetPr>
  <dimension ref="A1:H25"/>
  <sheetViews>
    <sheetView showGridLines="0" workbookViewId="0">
      <pane ySplit="6" topLeftCell="A16" activePane="bottomLeft" state="frozen"/>
      <selection pane="bottomLeft"/>
    </sheetView>
  </sheetViews>
  <sheetFormatPr defaultRowHeight="14"/>
  <cols>
    <col min="1" max="1" width="29" customWidth="1"/>
    <col min="2" max="5" width="14" customWidth="1"/>
    <col min="6" max="6" width="24" customWidth="1"/>
    <col min="7" max="7" width="62" customWidth="1"/>
    <col min="8" max="8" width="18" customWidth="1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 ht="25" customHeight="1">
      <c r="A2" s="8" t="s">
        <v>167</v>
      </c>
      <c r="B2" s="9"/>
      <c r="C2" s="9"/>
      <c r="D2" s="9"/>
      <c r="E2" s="9"/>
      <c r="F2" s="9"/>
      <c r="G2" s="9"/>
      <c r="H2" s="11" t="str">
        <f>HYPERLINK("#'Home'!A1","← Back to Home")</f>
        <v>← Back to Home</v>
      </c>
    </row>
    <row r="3" spans="1:8" ht="20" customHeight="1">
      <c r="A3" s="10" t="s">
        <v>168</v>
      </c>
      <c r="B3" s="1"/>
      <c r="C3" s="1"/>
      <c r="D3" s="1"/>
      <c r="E3" s="1"/>
      <c r="F3" s="1"/>
      <c r="G3" s="1"/>
      <c r="H3" s="1"/>
    </row>
    <row r="4" spans="1:8">
      <c r="A4" s="12" t="str">
        <f>HYPERLINK("#'A8 - Sources'!A1","Source register ↗")</f>
        <v>Source register ↗</v>
      </c>
      <c r="B4" s="1"/>
      <c r="C4" s="1"/>
      <c r="D4" s="1"/>
      <c r="E4" s="1"/>
      <c r="F4" s="1"/>
      <c r="G4" s="1"/>
      <c r="H4" s="1"/>
    </row>
    <row r="5" spans="1:8">
      <c r="A5" s="1"/>
      <c r="B5" s="1"/>
      <c r="C5" s="1"/>
      <c r="D5" s="1"/>
      <c r="E5" s="1"/>
      <c r="F5" s="1"/>
      <c r="G5" s="1"/>
      <c r="H5" s="1"/>
    </row>
    <row r="6" spans="1:8" ht="34" customHeight="1">
      <c r="A6" s="13" t="s">
        <v>4</v>
      </c>
      <c r="B6" s="14" t="s">
        <v>169</v>
      </c>
      <c r="C6" s="14" t="s">
        <v>170</v>
      </c>
      <c r="D6" s="14" t="s">
        <v>171</v>
      </c>
      <c r="E6" s="14" t="s">
        <v>172</v>
      </c>
      <c r="F6" s="14" t="s">
        <v>173</v>
      </c>
      <c r="G6" s="15" t="s">
        <v>115</v>
      </c>
      <c r="H6" s="1"/>
    </row>
    <row r="7" spans="1:8" ht="31" customHeight="1">
      <c r="A7" s="16" t="s">
        <v>14</v>
      </c>
      <c r="B7" s="19" t="s">
        <v>174</v>
      </c>
      <c r="C7" s="19" t="s">
        <v>174</v>
      </c>
      <c r="D7" s="19" t="s">
        <v>174</v>
      </c>
      <c r="E7" s="19" t="s">
        <v>174</v>
      </c>
      <c r="F7" s="16" t="s">
        <v>175</v>
      </c>
      <c r="G7" s="16" t="s">
        <v>176</v>
      </c>
      <c r="H7" s="1"/>
    </row>
    <row r="8" spans="1:8" ht="31" customHeight="1">
      <c r="A8" s="17" t="s">
        <v>19</v>
      </c>
      <c r="B8" s="20" t="s">
        <v>174</v>
      </c>
      <c r="C8" s="20" t="s">
        <v>174</v>
      </c>
      <c r="D8" s="20" t="s">
        <v>174</v>
      </c>
      <c r="E8" s="20" t="s">
        <v>174</v>
      </c>
      <c r="F8" s="17" t="s">
        <v>175</v>
      </c>
      <c r="G8" s="17" t="s">
        <v>177</v>
      </c>
      <c r="H8" s="1"/>
    </row>
    <row r="9" spans="1:8" ht="31" customHeight="1">
      <c r="A9" s="17" t="s">
        <v>24</v>
      </c>
      <c r="B9" s="20" t="s">
        <v>178</v>
      </c>
      <c r="C9" s="20" t="s">
        <v>178</v>
      </c>
      <c r="D9" s="20" t="s">
        <v>178</v>
      </c>
      <c r="E9" s="20" t="s">
        <v>179</v>
      </c>
      <c r="F9" s="17" t="s">
        <v>180</v>
      </c>
      <c r="G9" s="17" t="s">
        <v>181</v>
      </c>
      <c r="H9" s="1"/>
    </row>
    <row r="10" spans="1:8" ht="31" customHeight="1">
      <c r="A10" s="17" t="s">
        <v>29</v>
      </c>
      <c r="B10" s="20" t="s">
        <v>174</v>
      </c>
      <c r="C10" s="20" t="s">
        <v>174</v>
      </c>
      <c r="D10" s="20" t="s">
        <v>178</v>
      </c>
      <c r="E10" s="20" t="s">
        <v>174</v>
      </c>
      <c r="F10" s="17" t="s">
        <v>175</v>
      </c>
      <c r="G10" s="17" t="s">
        <v>182</v>
      </c>
      <c r="H10" s="1"/>
    </row>
    <row r="11" spans="1:8" ht="31" customHeight="1">
      <c r="A11" s="17" t="s">
        <v>34</v>
      </c>
      <c r="B11" s="20" t="s">
        <v>174</v>
      </c>
      <c r="C11" s="20" t="s">
        <v>174</v>
      </c>
      <c r="D11" s="20" t="s">
        <v>174</v>
      </c>
      <c r="E11" s="20" t="s">
        <v>174</v>
      </c>
      <c r="F11" s="17" t="s">
        <v>175</v>
      </c>
      <c r="G11" s="17" t="s">
        <v>176</v>
      </c>
      <c r="H11" s="1"/>
    </row>
    <row r="12" spans="1:8" ht="31" customHeight="1">
      <c r="A12" s="17" t="s">
        <v>39</v>
      </c>
      <c r="B12" s="20" t="s">
        <v>178</v>
      </c>
      <c r="C12" s="20" t="s">
        <v>178</v>
      </c>
      <c r="D12" s="20" t="s">
        <v>178</v>
      </c>
      <c r="E12" s="20" t="s">
        <v>179</v>
      </c>
      <c r="F12" s="17" t="s">
        <v>180</v>
      </c>
      <c r="G12" s="17" t="s">
        <v>183</v>
      </c>
      <c r="H12" s="1"/>
    </row>
    <row r="13" spans="1:8" ht="31" customHeight="1">
      <c r="A13" s="17" t="s">
        <v>43</v>
      </c>
      <c r="B13" s="20" t="s">
        <v>178</v>
      </c>
      <c r="C13" s="20" t="s">
        <v>178</v>
      </c>
      <c r="D13" s="20" t="s">
        <v>178</v>
      </c>
      <c r="E13" s="20" t="s">
        <v>179</v>
      </c>
      <c r="F13" s="17" t="s">
        <v>180</v>
      </c>
      <c r="G13" s="17" t="s">
        <v>184</v>
      </c>
      <c r="H13" s="1"/>
    </row>
    <row r="14" spans="1:8" ht="31" customHeight="1">
      <c r="A14" s="17" t="s">
        <v>52</v>
      </c>
      <c r="B14" s="20" t="s">
        <v>178</v>
      </c>
      <c r="C14" s="20" t="s">
        <v>178</v>
      </c>
      <c r="D14" s="20" t="s">
        <v>178</v>
      </c>
      <c r="E14" s="20" t="s">
        <v>179</v>
      </c>
      <c r="F14" s="17" t="s">
        <v>180</v>
      </c>
      <c r="G14" s="17" t="s">
        <v>184</v>
      </c>
      <c r="H14" s="1"/>
    </row>
    <row r="15" spans="1:8" ht="31" customHeight="1">
      <c r="A15" s="17" t="s">
        <v>61</v>
      </c>
      <c r="B15" s="20" t="s">
        <v>174</v>
      </c>
      <c r="C15" s="20" t="s">
        <v>174</v>
      </c>
      <c r="D15" s="20" t="s">
        <v>174</v>
      </c>
      <c r="E15" s="20" t="s">
        <v>174</v>
      </c>
      <c r="F15" s="17" t="s">
        <v>175</v>
      </c>
      <c r="G15" s="17" t="s">
        <v>176</v>
      </c>
      <c r="H15" s="1"/>
    </row>
    <row r="16" spans="1:8" ht="31" customHeight="1">
      <c r="A16" s="17" t="s">
        <v>65</v>
      </c>
      <c r="B16" s="20" t="s">
        <v>174</v>
      </c>
      <c r="C16" s="20" t="s">
        <v>174</v>
      </c>
      <c r="D16" s="20" t="s">
        <v>174</v>
      </c>
      <c r="E16" s="20" t="s">
        <v>174</v>
      </c>
      <c r="F16" s="17" t="s">
        <v>175</v>
      </c>
      <c r="G16" s="17" t="s">
        <v>176</v>
      </c>
      <c r="H16" s="1"/>
    </row>
    <row r="17" spans="1:8" ht="31" customHeight="1">
      <c r="A17" s="17" t="s">
        <v>69</v>
      </c>
      <c r="B17" s="20" t="s">
        <v>174</v>
      </c>
      <c r="C17" s="20" t="s">
        <v>174</v>
      </c>
      <c r="D17" s="20" t="s">
        <v>174</v>
      </c>
      <c r="E17" s="20" t="s">
        <v>174</v>
      </c>
      <c r="F17" s="17" t="s">
        <v>175</v>
      </c>
      <c r="G17" s="17" t="s">
        <v>185</v>
      </c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 ht="22" customHeight="1">
      <c r="A20" s="5" t="s">
        <v>186</v>
      </c>
      <c r="B20" s="6"/>
      <c r="C20" s="6"/>
      <c r="D20" s="6"/>
      <c r="E20" s="6"/>
      <c r="F20" s="6"/>
      <c r="G20" s="6"/>
      <c r="H20" s="7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 ht="32" customHeight="1">
      <c r="A22" s="21" t="s">
        <v>187</v>
      </c>
      <c r="B22" s="70" t="s">
        <v>188</v>
      </c>
      <c r="C22" s="70"/>
      <c r="D22" s="70"/>
      <c r="E22" s="70"/>
      <c r="F22" s="70"/>
      <c r="G22" s="70"/>
      <c r="H22" s="1"/>
    </row>
    <row r="23" spans="1:8" ht="32" customHeight="1">
      <c r="A23" s="21" t="s">
        <v>189</v>
      </c>
      <c r="B23" s="70" t="s">
        <v>190</v>
      </c>
      <c r="C23" s="70"/>
      <c r="D23" s="70"/>
      <c r="E23" s="70"/>
      <c r="F23" s="70"/>
      <c r="G23" s="70"/>
      <c r="H23" s="1"/>
    </row>
    <row r="24" spans="1:8" ht="32" customHeight="1">
      <c r="A24" s="22" t="s">
        <v>191</v>
      </c>
      <c r="B24" s="71" t="s">
        <v>192</v>
      </c>
      <c r="C24" s="71"/>
      <c r="D24" s="71"/>
      <c r="E24" s="71"/>
      <c r="F24" s="71"/>
      <c r="G24" s="7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</sheetData>
  <mergeCells count="3">
    <mergeCell ref="B22:G22"/>
    <mergeCell ref="B23:G23"/>
    <mergeCell ref="B24:G24"/>
  </mergeCells>
  <conditionalFormatting sqref="B7:E17">
    <cfRule type="containsText" dxfId="5" priority="1" operator="containsText" text="✓"/>
    <cfRule type="containsText" dxfId="4" priority="2" operator="containsText" text="△"/>
    <cfRule type="containsText" dxfId="3" priority="3" operator="containsText" text="—"/>
  </conditionalFormatting>
  <conditionalFormatting sqref="F7:F17">
    <cfRule type="containsText" dxfId="2" priority="4" operator="containsText" text="Single-peer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A7F8E"/>
  </sheetPr>
  <dimension ref="A1:F23"/>
  <sheetViews>
    <sheetView showGridLines="0" topLeftCell="B1" workbookViewId="0">
      <pane ySplit="6" topLeftCell="A13" activePane="bottomLeft" state="frozen"/>
      <selection pane="bottomLeft"/>
    </sheetView>
  </sheetViews>
  <sheetFormatPr defaultRowHeight="14"/>
  <cols>
    <col min="1" max="1" width="18" customWidth="1"/>
    <col min="2" max="2" width="45" customWidth="1"/>
    <col min="3" max="3" width="56" customWidth="1"/>
    <col min="4" max="4" width="36" customWidth="1"/>
    <col min="5" max="5" width="53" customWidth="1"/>
    <col min="6" max="6" width="18" customWidth="1"/>
  </cols>
  <sheetData>
    <row r="1" spans="1:6">
      <c r="A1" s="1"/>
      <c r="B1" s="1"/>
      <c r="C1" s="1"/>
      <c r="D1" s="1"/>
      <c r="E1" s="1"/>
      <c r="F1" s="1"/>
    </row>
    <row r="2" spans="1:6" ht="25" customHeight="1">
      <c r="A2" s="8" t="s">
        <v>193</v>
      </c>
      <c r="B2" s="9"/>
      <c r="C2" s="9"/>
      <c r="D2" s="9"/>
      <c r="E2" s="9"/>
      <c r="F2" s="11" t="str">
        <f>HYPERLINK("#'Home'!A1","← Back to Home")</f>
        <v>← Back to Home</v>
      </c>
    </row>
    <row r="3" spans="1:6" ht="20" customHeight="1">
      <c r="A3" s="10" t="s">
        <v>194</v>
      </c>
      <c r="B3" s="1"/>
      <c r="C3" s="1"/>
      <c r="D3" s="1"/>
      <c r="E3" s="1"/>
      <c r="F3" s="1"/>
    </row>
    <row r="4" spans="1:6">
      <c r="A4" s="12" t="str">
        <f>HYPERLINK("#'A8 - Sources'!A1","Source register ↗")</f>
        <v>Source register ↗</v>
      </c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 ht="34" customHeight="1">
      <c r="A6" s="13" t="s">
        <v>195</v>
      </c>
      <c r="B6" s="14" t="s">
        <v>196</v>
      </c>
      <c r="C6" s="14" t="s">
        <v>197</v>
      </c>
      <c r="D6" s="14" t="s">
        <v>198</v>
      </c>
      <c r="E6" s="15" t="s">
        <v>166</v>
      </c>
      <c r="F6" s="1"/>
    </row>
    <row r="7" spans="1:6" ht="48" customHeight="1">
      <c r="A7" s="16" t="s">
        <v>172</v>
      </c>
      <c r="B7" s="16" t="s">
        <v>199</v>
      </c>
      <c r="C7" s="16" t="s">
        <v>200</v>
      </c>
      <c r="D7" s="16" t="s">
        <v>201</v>
      </c>
      <c r="E7" s="16" t="s">
        <v>202</v>
      </c>
      <c r="F7" s="1"/>
    </row>
    <row r="8" spans="1:6" ht="48" customHeight="1">
      <c r="A8" s="18" t="s">
        <v>172</v>
      </c>
      <c r="B8" s="18" t="s">
        <v>203</v>
      </c>
      <c r="C8" s="18" t="s">
        <v>204</v>
      </c>
      <c r="D8" s="18" t="s">
        <v>205</v>
      </c>
      <c r="E8" s="18" t="s">
        <v>206</v>
      </c>
      <c r="F8" s="1"/>
    </row>
    <row r="9" spans="1:6" ht="48" customHeight="1">
      <c r="A9" s="17" t="s">
        <v>171</v>
      </c>
      <c r="B9" s="17" t="s">
        <v>207</v>
      </c>
      <c r="C9" s="17" t="s">
        <v>208</v>
      </c>
      <c r="D9" s="17" t="s">
        <v>209</v>
      </c>
      <c r="E9" s="17" t="s">
        <v>210</v>
      </c>
      <c r="F9" s="1"/>
    </row>
    <row r="10" spans="1:6" ht="48" customHeight="1">
      <c r="A10" s="18" t="s">
        <v>170</v>
      </c>
      <c r="B10" s="18" t="s">
        <v>211</v>
      </c>
      <c r="C10" s="18" t="s">
        <v>212</v>
      </c>
      <c r="D10" s="18" t="s">
        <v>213</v>
      </c>
      <c r="E10" s="18" t="s">
        <v>214</v>
      </c>
      <c r="F10" s="1"/>
    </row>
    <row r="11" spans="1:6" ht="48" customHeight="1">
      <c r="A11" s="17" t="s">
        <v>169</v>
      </c>
      <c r="B11" s="17" t="s">
        <v>215</v>
      </c>
      <c r="C11" s="17" t="s">
        <v>216</v>
      </c>
      <c r="D11" s="17" t="s">
        <v>217</v>
      </c>
      <c r="E11" s="17" t="s">
        <v>218</v>
      </c>
      <c r="F11" s="1"/>
    </row>
    <row r="12" spans="1:6" ht="48" customHeight="1">
      <c r="A12" s="18" t="s">
        <v>219</v>
      </c>
      <c r="B12" s="18" t="s">
        <v>220</v>
      </c>
      <c r="C12" s="18" t="s">
        <v>221</v>
      </c>
      <c r="D12" s="18" t="s">
        <v>222</v>
      </c>
      <c r="E12" s="18" t="s">
        <v>223</v>
      </c>
      <c r="F12" s="1"/>
    </row>
    <row r="13" spans="1:6" ht="48" customHeight="1">
      <c r="A13" s="17" t="s">
        <v>219</v>
      </c>
      <c r="B13" s="17" t="s">
        <v>224</v>
      </c>
      <c r="C13" s="17" t="s">
        <v>225</v>
      </c>
      <c r="D13" s="17" t="s">
        <v>226</v>
      </c>
      <c r="E13" s="17" t="s">
        <v>227</v>
      </c>
      <c r="F13" s="1"/>
    </row>
    <row r="14" spans="1:6" ht="48" customHeight="1">
      <c r="A14" s="18" t="s">
        <v>219</v>
      </c>
      <c r="B14" s="18" t="s">
        <v>228</v>
      </c>
      <c r="C14" s="18" t="s">
        <v>229</v>
      </c>
      <c r="D14" s="18" t="s">
        <v>230</v>
      </c>
      <c r="E14" s="18" t="s">
        <v>231</v>
      </c>
      <c r="F14" s="1"/>
    </row>
    <row r="15" spans="1:6" ht="48" customHeight="1">
      <c r="A15" s="17" t="s">
        <v>219</v>
      </c>
      <c r="B15" s="17" t="s">
        <v>232</v>
      </c>
      <c r="C15" s="17" t="s">
        <v>233</v>
      </c>
      <c r="D15" s="17" t="s">
        <v>234</v>
      </c>
      <c r="E15" s="17" t="s">
        <v>235</v>
      </c>
      <c r="F15" s="1"/>
    </row>
    <row r="16" spans="1:6" ht="48" customHeight="1">
      <c r="A16" s="18" t="s">
        <v>219</v>
      </c>
      <c r="B16" s="18" t="s">
        <v>236</v>
      </c>
      <c r="C16" s="18" t="s">
        <v>237</v>
      </c>
      <c r="D16" s="18" t="s">
        <v>238</v>
      </c>
      <c r="E16" s="18" t="s">
        <v>239</v>
      </c>
      <c r="F16" s="1"/>
    </row>
    <row r="17" spans="1:6" ht="48" customHeight="1">
      <c r="A17" s="17" t="s">
        <v>240</v>
      </c>
      <c r="B17" s="17" t="s">
        <v>241</v>
      </c>
      <c r="C17" s="17" t="s">
        <v>242</v>
      </c>
      <c r="D17" s="17" t="s">
        <v>243</v>
      </c>
      <c r="E17" s="17" t="s">
        <v>244</v>
      </c>
      <c r="F17" s="1"/>
    </row>
    <row r="18" spans="1:6" ht="48" customHeight="1">
      <c r="A18" s="18" t="s">
        <v>240</v>
      </c>
      <c r="B18" s="18" t="s">
        <v>245</v>
      </c>
      <c r="C18" s="18" t="s">
        <v>246</v>
      </c>
      <c r="D18" s="18" t="s">
        <v>247</v>
      </c>
      <c r="E18" s="18" t="s">
        <v>248</v>
      </c>
      <c r="F18" s="1"/>
    </row>
    <row r="19" spans="1:6">
      <c r="A19" s="1"/>
      <c r="B19" s="1"/>
      <c r="C19" s="1"/>
      <c r="D19" s="1"/>
      <c r="E19" s="1"/>
      <c r="F19" s="1"/>
    </row>
    <row r="20" spans="1:6">
      <c r="A20" s="72" t="s">
        <v>249</v>
      </c>
      <c r="B20" s="73"/>
      <c r="C20" s="73"/>
      <c r="D20" s="73"/>
      <c r="E20" s="74"/>
      <c r="F20" s="1"/>
    </row>
    <row r="21" spans="1:6">
      <c r="A21" s="75"/>
      <c r="B21" s="76"/>
      <c r="C21" s="76"/>
      <c r="D21" s="76"/>
      <c r="E21" s="77"/>
      <c r="F21" s="1"/>
    </row>
    <row r="22" spans="1:6">
      <c r="A22" s="78"/>
      <c r="B22" s="79"/>
      <c r="C22" s="79"/>
      <c r="D22" s="79"/>
      <c r="E22" s="80"/>
      <c r="F22" s="1"/>
    </row>
    <row r="23" spans="1:6">
      <c r="A23" s="1"/>
      <c r="B23" s="1"/>
      <c r="C23" s="1"/>
      <c r="D23" s="1"/>
      <c r="E23" s="1"/>
      <c r="F23" s="1"/>
    </row>
  </sheetData>
  <mergeCells count="1">
    <mergeCell ref="A20:E2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F75B5"/>
  </sheetPr>
  <dimension ref="A1:M31"/>
  <sheetViews>
    <sheetView showGridLines="0" workbookViewId="0">
      <pane ySplit="6" topLeftCell="A8" activePane="bottomLeft" state="frozen"/>
      <selection pane="bottomLeft"/>
    </sheetView>
  </sheetViews>
  <sheetFormatPr defaultRowHeight="14"/>
  <cols>
    <col min="1" max="2" width="12" customWidth="1"/>
    <col min="3" max="3" width="18" customWidth="1"/>
    <col min="4" max="5" width="12" customWidth="1"/>
    <col min="6" max="6" width="20" customWidth="1"/>
    <col min="7" max="7" width="17" customWidth="1"/>
    <col min="8" max="9" width="16" customWidth="1"/>
    <col min="10" max="10" width="18" customWidth="1"/>
    <col min="11" max="11" width="3" customWidth="1"/>
    <col min="12" max="12" width="66" customWidth="1"/>
    <col min="13" max="13" width="18" customWidth="1"/>
  </cols>
  <sheetData>
    <row r="1" spans="1:1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5" customHeight="1">
      <c r="A2" s="8" t="s">
        <v>250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11" t="str">
        <f>HYPERLINK("#'Home'!A1","← Back to Home")</f>
        <v>← Back to Home</v>
      </c>
    </row>
    <row r="3" spans="1:13" ht="20" customHeight="1">
      <c r="A3" s="10" t="s">
        <v>251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12" t="str">
        <f>HYPERLINK("#'A8 - Sources'!A1","Source register ↗")</f>
        <v>Source register ↗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34" customHeight="1">
      <c r="A6" s="13" t="s">
        <v>252</v>
      </c>
      <c r="B6" s="14" t="s">
        <v>14</v>
      </c>
      <c r="C6" s="14" t="s">
        <v>19</v>
      </c>
      <c r="D6" s="14" t="s">
        <v>24</v>
      </c>
      <c r="E6" s="14" t="s">
        <v>29</v>
      </c>
      <c r="F6" s="14" t="s">
        <v>34</v>
      </c>
      <c r="G6" s="14" t="s">
        <v>39</v>
      </c>
      <c r="H6" s="14" t="s">
        <v>43</v>
      </c>
      <c r="I6" s="14" t="s">
        <v>52</v>
      </c>
      <c r="J6" s="15" t="s">
        <v>253</v>
      </c>
      <c r="K6" s="1"/>
      <c r="L6" s="23" t="s">
        <v>254</v>
      </c>
      <c r="M6" s="1"/>
    </row>
    <row r="7" spans="1:13" ht="31" customHeight="1">
      <c r="A7" s="16" t="s">
        <v>255</v>
      </c>
      <c r="B7" s="31" t="s">
        <v>256</v>
      </c>
      <c r="C7" s="24">
        <v>13.822890981570282</v>
      </c>
      <c r="D7" s="31" t="s">
        <v>256</v>
      </c>
      <c r="E7" s="31" t="s">
        <v>256</v>
      </c>
      <c r="F7" s="24">
        <v>36.486504130799005</v>
      </c>
      <c r="G7" s="31" t="s">
        <v>256</v>
      </c>
      <c r="H7" s="31" t="s">
        <v>256</v>
      </c>
      <c r="I7" s="26">
        <v>0.10306083540354728</v>
      </c>
      <c r="J7" s="26">
        <v>0.79148596584182052</v>
      </c>
      <c r="K7" s="1"/>
      <c r="L7" s="16" t="s">
        <v>257</v>
      </c>
      <c r="M7" s="1"/>
    </row>
    <row r="8" spans="1:13" ht="31" customHeight="1">
      <c r="A8" s="17" t="s">
        <v>258</v>
      </c>
      <c r="B8" s="25">
        <v>79.897168176572521</v>
      </c>
      <c r="C8" s="25">
        <v>12.62045682739782</v>
      </c>
      <c r="D8" s="25">
        <v>3.1254599230368401</v>
      </c>
      <c r="E8" s="25">
        <v>30.487369414314013</v>
      </c>
      <c r="F8" s="25">
        <v>38.283482765192289</v>
      </c>
      <c r="G8" s="25">
        <v>52.535258685295346</v>
      </c>
      <c r="H8" s="25">
        <v>26.872232747500874</v>
      </c>
      <c r="I8" s="27">
        <v>8.6723269019696417E-2</v>
      </c>
      <c r="J8" s="27">
        <v>0.84817899000057551</v>
      </c>
      <c r="K8" s="1"/>
      <c r="L8" s="17" t="s">
        <v>259</v>
      </c>
      <c r="M8" s="1"/>
    </row>
    <row r="9" spans="1:13" ht="31" customHeight="1">
      <c r="A9" s="17" t="s">
        <v>260</v>
      </c>
      <c r="B9" s="25">
        <v>80.313969330535159</v>
      </c>
      <c r="C9" s="25">
        <v>13.8783425584972</v>
      </c>
      <c r="D9" s="25">
        <v>2.9681667486504395</v>
      </c>
      <c r="E9" s="25">
        <v>30.756618916164914</v>
      </c>
      <c r="F9" s="25">
        <v>41.476979356162055</v>
      </c>
      <c r="G9" s="25">
        <v>52.52551716302068</v>
      </c>
      <c r="H9" s="25">
        <v>24.926880365355821</v>
      </c>
      <c r="I9" s="27">
        <v>9.0190532627062725E-2</v>
      </c>
      <c r="J9" s="27">
        <v>0.9971796083135076</v>
      </c>
      <c r="K9" s="1"/>
      <c r="L9" s="17" t="s">
        <v>261</v>
      </c>
      <c r="M9" s="1"/>
    </row>
    <row r="10" spans="1:13" ht="31" customHeight="1">
      <c r="A10" s="17" t="s">
        <v>262</v>
      </c>
      <c r="B10" s="25">
        <v>78.573363399749056</v>
      </c>
      <c r="C10" s="25">
        <v>14.801709976778142</v>
      </c>
      <c r="D10" s="25">
        <v>3.8822149214458737</v>
      </c>
      <c r="E10" s="25">
        <v>30.999055655300058</v>
      </c>
      <c r="F10" s="25">
        <v>39.624984227475458</v>
      </c>
      <c r="G10" s="25">
        <v>51.45652266589488</v>
      </c>
      <c r="H10" s="25">
        <v>26.633248415197563</v>
      </c>
      <c r="I10" s="27">
        <v>0.10334902617886396</v>
      </c>
      <c r="J10" s="27">
        <v>0.71763974207509784</v>
      </c>
      <c r="K10" s="1"/>
      <c r="L10" s="17" t="s">
        <v>261</v>
      </c>
      <c r="M10" s="1"/>
    </row>
    <row r="11" spans="1:13" ht="31" customHeight="1">
      <c r="A11" s="28" t="s">
        <v>263</v>
      </c>
      <c r="B11" s="29">
        <v>87.338167465192356</v>
      </c>
      <c r="C11" s="29">
        <v>11.947374807388268</v>
      </c>
      <c r="D11" s="29">
        <v>7.2241046158255537</v>
      </c>
      <c r="E11" s="29">
        <v>40.086851447147687</v>
      </c>
      <c r="F11" s="29">
        <v>37.944948143105428</v>
      </c>
      <c r="G11" s="29">
        <v>54.475420633870222</v>
      </c>
      <c r="H11" s="29">
        <v>28.477847298153073</v>
      </c>
      <c r="I11" s="30">
        <v>0.12805865138264996</v>
      </c>
      <c r="J11" s="30">
        <v>0.65882193768063113</v>
      </c>
      <c r="K11" s="1"/>
      <c r="L11" s="28" t="s">
        <v>264</v>
      </c>
      <c r="M11" s="1"/>
    </row>
    <row r="12" spans="1:13" ht="31" customHeight="1">
      <c r="A12" s="17" t="s">
        <v>265</v>
      </c>
      <c r="B12" s="25">
        <v>98.239314491708669</v>
      </c>
      <c r="C12" s="25">
        <v>11.439024066335318</v>
      </c>
      <c r="D12" s="25">
        <v>7.3326270378364029</v>
      </c>
      <c r="E12" s="25">
        <v>49.431147379241274</v>
      </c>
      <c r="F12" s="25">
        <v>39.643284989399838</v>
      </c>
      <c r="G12" s="25">
        <v>56.140794150303797</v>
      </c>
      <c r="H12" s="25">
        <v>27.936533227239288</v>
      </c>
      <c r="I12" s="27">
        <v>0.11385503505872047</v>
      </c>
      <c r="J12" s="27">
        <v>0.76608067677071745</v>
      </c>
      <c r="K12" s="1"/>
      <c r="L12" s="17" t="s">
        <v>266</v>
      </c>
      <c r="M12" s="1"/>
    </row>
    <row r="13" spans="1:13" ht="31" customHeight="1">
      <c r="A13" s="17" t="s">
        <v>267</v>
      </c>
      <c r="B13" s="33" t="s">
        <v>256</v>
      </c>
      <c r="C13" s="25">
        <v>13.683680803393868</v>
      </c>
      <c r="D13" s="25">
        <v>5.8345731385093629</v>
      </c>
      <c r="E13" s="33" t="s">
        <v>256</v>
      </c>
      <c r="F13" s="25">
        <v>39.439248986951362</v>
      </c>
      <c r="G13" s="33" t="s">
        <v>256</v>
      </c>
      <c r="H13" s="33" t="s">
        <v>256</v>
      </c>
      <c r="I13" s="34" t="s">
        <v>256</v>
      </c>
      <c r="J13" s="27">
        <v>0.57723070304335755</v>
      </c>
      <c r="K13" s="1"/>
      <c r="L13" s="17" t="s">
        <v>268</v>
      </c>
      <c r="M13" s="1"/>
    </row>
    <row r="14" spans="1:13" ht="31" customHeight="1">
      <c r="A14" s="17" t="s">
        <v>269</v>
      </c>
      <c r="B14" s="33" t="s">
        <v>256</v>
      </c>
      <c r="C14" s="33" t="s">
        <v>256</v>
      </c>
      <c r="D14" s="25">
        <v>6.4767758787121688</v>
      </c>
      <c r="E14" s="33" t="s">
        <v>256</v>
      </c>
      <c r="F14" s="33" t="s">
        <v>256</v>
      </c>
      <c r="G14" s="33" t="s">
        <v>256</v>
      </c>
      <c r="H14" s="33" t="s">
        <v>256</v>
      </c>
      <c r="I14" s="34" t="s">
        <v>256</v>
      </c>
      <c r="J14" s="34" t="s">
        <v>256</v>
      </c>
      <c r="K14" s="1"/>
      <c r="L14" s="17" t="s">
        <v>270</v>
      </c>
      <c r="M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22" customHeight="1">
      <c r="A17" s="5" t="s">
        <v>271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7"/>
    </row>
    <row r="18" spans="1:1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34" customHeight="1">
      <c r="A19" s="13" t="s">
        <v>4</v>
      </c>
      <c r="B19" s="14" t="s">
        <v>272</v>
      </c>
      <c r="C19" s="14" t="s">
        <v>273</v>
      </c>
      <c r="D19" s="14" t="s">
        <v>274</v>
      </c>
      <c r="E19" s="14" t="s">
        <v>275</v>
      </c>
      <c r="F19" s="14" t="s">
        <v>276</v>
      </c>
      <c r="G19" s="15" t="s">
        <v>277</v>
      </c>
      <c r="H19" s="1"/>
      <c r="I19" s="1"/>
      <c r="J19" s="1"/>
      <c r="K19" s="1"/>
      <c r="L19" s="1"/>
      <c r="M19" s="1"/>
    </row>
    <row r="20" spans="1:13" ht="25" customHeight="1">
      <c r="A20" s="16" t="s">
        <v>14</v>
      </c>
      <c r="B20" s="24">
        <v>98.239314491708669</v>
      </c>
      <c r="C20" s="24">
        <v>84.255953849641358</v>
      </c>
      <c r="D20" s="24">
        <v>80.10556875355384</v>
      </c>
      <c r="E20" s="24">
        <v>78.573363399749056</v>
      </c>
      <c r="F20" s="24">
        <v>98.239314491708669</v>
      </c>
      <c r="G20" s="16">
        <v>4</v>
      </c>
      <c r="H20" s="1"/>
      <c r="I20" s="1"/>
      <c r="J20" s="1"/>
      <c r="K20" s="1"/>
      <c r="L20" s="1"/>
      <c r="M20" s="1"/>
    </row>
    <row r="21" spans="1:13" ht="25" customHeight="1">
      <c r="A21" s="17" t="s">
        <v>19</v>
      </c>
      <c r="B21" s="25">
        <v>13.683680803393868</v>
      </c>
      <c r="C21" s="25">
        <v>13.374350868995437</v>
      </c>
      <c r="D21" s="25">
        <v>13.753285892482076</v>
      </c>
      <c r="E21" s="25">
        <v>11.439024066335318</v>
      </c>
      <c r="F21" s="25">
        <v>14.801709976778142</v>
      </c>
      <c r="G21" s="17">
        <v>6</v>
      </c>
      <c r="H21" s="1"/>
      <c r="I21" s="1"/>
      <c r="J21" s="1"/>
      <c r="K21" s="1"/>
      <c r="L21" s="1"/>
      <c r="M21" s="1"/>
    </row>
    <row r="22" spans="1:13" ht="25" customHeight="1">
      <c r="A22" s="17" t="s">
        <v>24</v>
      </c>
      <c r="B22" s="25">
        <v>6.4767758787121688</v>
      </c>
      <c r="C22" s="25">
        <v>4.9366362746985146</v>
      </c>
      <c r="D22" s="25">
        <v>4.8583940299776183</v>
      </c>
      <c r="E22" s="25">
        <v>2.9681667486504395</v>
      </c>
      <c r="F22" s="25">
        <v>7.3326270378364029</v>
      </c>
      <c r="G22" s="17">
        <v>6</v>
      </c>
      <c r="H22" s="1"/>
      <c r="I22" s="1"/>
      <c r="J22" s="1"/>
      <c r="K22" s="1"/>
      <c r="L22" s="1"/>
      <c r="M22" s="1"/>
    </row>
    <row r="23" spans="1:13" ht="25" customHeight="1">
      <c r="A23" s="17" t="s">
        <v>29</v>
      </c>
      <c r="B23" s="25">
        <v>49.431147379241274</v>
      </c>
      <c r="C23" s="25">
        <v>35.418547841255062</v>
      </c>
      <c r="D23" s="25">
        <v>30.877837285732486</v>
      </c>
      <c r="E23" s="25">
        <v>30.487369414314013</v>
      </c>
      <c r="F23" s="25">
        <v>49.431147379241274</v>
      </c>
      <c r="G23" s="17">
        <v>4</v>
      </c>
      <c r="H23" s="1"/>
      <c r="I23" s="1"/>
      <c r="J23" s="1"/>
      <c r="K23" s="1"/>
      <c r="L23" s="1"/>
      <c r="M23" s="1"/>
    </row>
    <row r="24" spans="1:13" ht="25" customHeight="1">
      <c r="A24" s="17" t="s">
        <v>34</v>
      </c>
      <c r="B24" s="25">
        <v>39.439248986951362</v>
      </c>
      <c r="C24" s="25">
        <v>39.159080742663335</v>
      </c>
      <c r="D24" s="25">
        <v>39.53211660721341</v>
      </c>
      <c r="E24" s="25">
        <v>36.486504130799005</v>
      </c>
      <c r="F24" s="25">
        <v>41.476979356162055</v>
      </c>
      <c r="G24" s="17">
        <v>6</v>
      </c>
      <c r="H24" s="1"/>
      <c r="I24" s="1"/>
      <c r="J24" s="1"/>
      <c r="K24" s="1"/>
      <c r="L24" s="1"/>
      <c r="M24" s="1"/>
    </row>
    <row r="25" spans="1:13" ht="25" customHeight="1">
      <c r="A25" s="17" t="s">
        <v>39</v>
      </c>
      <c r="B25" s="25">
        <v>56.140794150303797</v>
      </c>
      <c r="C25" s="25">
        <v>53.164523166128674</v>
      </c>
      <c r="D25" s="25">
        <v>52.530387924158013</v>
      </c>
      <c r="E25" s="25">
        <v>51.45652266589488</v>
      </c>
      <c r="F25" s="25">
        <v>56.140794150303797</v>
      </c>
      <c r="G25" s="17">
        <v>4</v>
      </c>
      <c r="H25" s="1"/>
      <c r="I25" s="1"/>
      <c r="J25" s="1"/>
      <c r="K25" s="1"/>
      <c r="L25" s="1"/>
      <c r="M25" s="1"/>
    </row>
    <row r="26" spans="1:13" ht="25" customHeight="1">
      <c r="A26" s="17" t="s">
        <v>43</v>
      </c>
      <c r="B26" s="25">
        <v>27.936533227239288</v>
      </c>
      <c r="C26" s="25">
        <v>26.592223688823388</v>
      </c>
      <c r="D26" s="25">
        <v>26.752740581349219</v>
      </c>
      <c r="E26" s="25">
        <v>24.926880365355821</v>
      </c>
      <c r="F26" s="25">
        <v>27.936533227239288</v>
      </c>
      <c r="G26" s="17">
        <v>4</v>
      </c>
      <c r="H26" s="1"/>
      <c r="I26" s="1"/>
      <c r="J26" s="1"/>
      <c r="K26" s="1"/>
      <c r="L26" s="1"/>
      <c r="M26" s="1"/>
    </row>
    <row r="27" spans="1:13" ht="25" customHeight="1">
      <c r="A27" s="17" t="s">
        <v>52</v>
      </c>
      <c r="B27" s="27">
        <v>0.11385503505872047</v>
      </c>
      <c r="C27" s="27">
        <v>9.9435739657578182E-2</v>
      </c>
      <c r="D27" s="27">
        <v>0.10306083540354728</v>
      </c>
      <c r="E27" s="27">
        <v>8.6723269019696417E-2</v>
      </c>
      <c r="F27" s="27">
        <v>0.11385503505872047</v>
      </c>
      <c r="G27" s="17">
        <v>5</v>
      </c>
      <c r="H27" s="1"/>
      <c r="I27" s="1"/>
      <c r="J27" s="1"/>
      <c r="K27" s="1"/>
      <c r="L27" s="1"/>
      <c r="M27" s="1"/>
    </row>
    <row r="28" spans="1:13" ht="25" customHeight="1">
      <c r="A28" s="17" t="s">
        <v>253</v>
      </c>
      <c r="B28" s="27">
        <v>0.57723070304335755</v>
      </c>
      <c r="C28" s="27">
        <v>0.78296594767417949</v>
      </c>
      <c r="D28" s="27">
        <v>0.77878332130626893</v>
      </c>
      <c r="E28" s="27">
        <v>0.57723070304335755</v>
      </c>
      <c r="F28" s="27">
        <v>0.9971796083135076</v>
      </c>
      <c r="G28" s="17">
        <v>6</v>
      </c>
      <c r="H28" s="1"/>
      <c r="I28" s="1"/>
      <c r="J28" s="1"/>
      <c r="K28" s="1"/>
      <c r="L28" s="1"/>
      <c r="M28" s="1"/>
    </row>
    <row r="29" spans="1:1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>
      <c r="A30" s="81" t="s">
        <v>278</v>
      </c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</row>
    <row r="31" spans="1:13">
      <c r="A31" s="81"/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</row>
  </sheetData>
  <mergeCells count="1">
    <mergeCell ref="A30:M3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F75B5"/>
  </sheetPr>
  <dimension ref="A1:J48"/>
  <sheetViews>
    <sheetView showGridLines="0" tabSelected="1" workbookViewId="0">
      <pane ySplit="6" topLeftCell="A33" activePane="bottomLeft" state="frozen"/>
      <selection pane="bottomLeft"/>
    </sheetView>
  </sheetViews>
  <sheetFormatPr defaultRowHeight="14"/>
  <cols>
    <col min="1" max="1" width="24" customWidth="1"/>
    <col min="2" max="2" width="21" customWidth="1"/>
    <col min="3" max="7" width="15" customWidth="1"/>
    <col min="8" max="8" width="12" customWidth="1"/>
    <col min="9" max="9" width="23" customWidth="1"/>
    <col min="10" max="10" width="18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5" customHeight="1">
      <c r="A2" s="8" t="s">
        <v>279</v>
      </c>
      <c r="B2" s="9"/>
      <c r="C2" s="9"/>
      <c r="D2" s="9"/>
      <c r="E2" s="9"/>
      <c r="F2" s="9"/>
      <c r="G2" s="9"/>
      <c r="H2" s="9"/>
      <c r="I2" s="9"/>
      <c r="J2" s="11" t="str">
        <f>HYPERLINK("#'Home'!A1","← Back to Home")</f>
        <v>← Back to Home</v>
      </c>
    </row>
    <row r="3" spans="1:10" ht="20" customHeight="1">
      <c r="A3" s="10" t="s">
        <v>280</v>
      </c>
      <c r="B3" s="1"/>
      <c r="C3" s="1"/>
      <c r="D3" s="1"/>
      <c r="E3" s="1"/>
      <c r="F3" s="1"/>
      <c r="G3" s="1"/>
      <c r="H3" s="1"/>
      <c r="I3" s="1"/>
      <c r="J3" s="1"/>
    </row>
    <row r="4" spans="1:10">
      <c r="A4" s="12" t="str">
        <f>HYPERLINK("#'A8 - Sources'!A1","Source register ↗")</f>
        <v>Source register ↗</v>
      </c>
      <c r="B4" s="1"/>
      <c r="C4" s="1"/>
      <c r="D4" s="1"/>
      <c r="E4" s="1"/>
      <c r="F4" s="1"/>
      <c r="G4" s="1"/>
      <c r="H4" s="1"/>
      <c r="I4" s="1"/>
      <c r="J4" s="1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34" customHeight="1">
      <c r="A6" s="13" t="s">
        <v>4</v>
      </c>
      <c r="B6" s="14" t="s">
        <v>195</v>
      </c>
      <c r="C6" s="14" t="s">
        <v>272</v>
      </c>
      <c r="D6" s="14" t="s">
        <v>274</v>
      </c>
      <c r="E6" s="14" t="s">
        <v>273</v>
      </c>
      <c r="F6" s="14" t="s">
        <v>275</v>
      </c>
      <c r="G6" s="14" t="s">
        <v>276</v>
      </c>
      <c r="H6" s="14" t="s">
        <v>281</v>
      </c>
      <c r="I6" s="15" t="s">
        <v>282</v>
      </c>
      <c r="J6" s="1"/>
    </row>
    <row r="7" spans="1:10" ht="24" customHeight="1">
      <c r="A7" s="35" t="s">
        <v>14</v>
      </c>
      <c r="B7" s="35" t="s">
        <v>219</v>
      </c>
      <c r="C7" s="36">
        <v>98.239314491708669</v>
      </c>
      <c r="D7" s="36">
        <v>80.10556875355384</v>
      </c>
      <c r="E7" s="36">
        <v>84.255953849641358</v>
      </c>
      <c r="F7" s="36">
        <v>78.573363399749056</v>
      </c>
      <c r="G7" s="36">
        <v>98.239314491708669</v>
      </c>
      <c r="H7" s="35">
        <v>4</v>
      </c>
      <c r="I7" s="35" t="s">
        <v>283</v>
      </c>
      <c r="J7" s="1"/>
    </row>
    <row r="8" spans="1:10" ht="24" customHeight="1">
      <c r="A8" s="17" t="s">
        <v>14</v>
      </c>
      <c r="B8" s="17" t="s">
        <v>169</v>
      </c>
      <c r="C8" s="25">
        <v>65.324389504699937</v>
      </c>
      <c r="D8" s="25">
        <v>60.276375724915923</v>
      </c>
      <c r="E8" s="25">
        <v>60.785647760253653</v>
      </c>
      <c r="F8" s="25">
        <v>57.128975600909854</v>
      </c>
      <c r="G8" s="25">
        <v>65.324389504699937</v>
      </c>
      <c r="H8" s="17">
        <v>5</v>
      </c>
      <c r="I8" s="17" t="s">
        <v>284</v>
      </c>
      <c r="J8" s="1"/>
    </row>
    <row r="9" spans="1:10" ht="24" customHeight="1">
      <c r="A9" s="17" t="s">
        <v>14</v>
      </c>
      <c r="B9" s="17" t="s">
        <v>170</v>
      </c>
      <c r="C9" s="25">
        <v>54.190011766835624</v>
      </c>
      <c r="D9" s="25">
        <v>54.190011766835624</v>
      </c>
      <c r="E9" s="25">
        <v>55.344654210688304</v>
      </c>
      <c r="F9" s="25">
        <v>53.758467833598544</v>
      </c>
      <c r="G9" s="25">
        <v>58.860269823788549</v>
      </c>
      <c r="H9" s="17">
        <v>5</v>
      </c>
      <c r="I9" s="17" t="s">
        <v>285</v>
      </c>
      <c r="J9" s="1"/>
    </row>
    <row r="10" spans="1:10" ht="24" customHeight="1">
      <c r="A10" s="17" t="s">
        <v>14</v>
      </c>
      <c r="B10" s="17" t="s">
        <v>171</v>
      </c>
      <c r="C10" s="25">
        <v>28.224761798347764</v>
      </c>
      <c r="D10" s="25">
        <v>28.235128663153667</v>
      </c>
      <c r="E10" s="25">
        <v>28.407557292955538</v>
      </c>
      <c r="F10" s="25">
        <v>27.740473511834502</v>
      </c>
      <c r="G10" s="25">
        <v>28.999331711690836</v>
      </c>
      <c r="H10" s="17">
        <v>5</v>
      </c>
      <c r="I10" s="17" t="s">
        <v>284</v>
      </c>
      <c r="J10" s="1"/>
    </row>
    <row r="11" spans="1:10" ht="24" customHeight="1">
      <c r="A11" s="17" t="s">
        <v>14</v>
      </c>
      <c r="B11" s="17" t="s">
        <v>172</v>
      </c>
      <c r="C11" s="25">
        <v>86.870002733867381</v>
      </c>
      <c r="D11" s="25">
        <v>78.80683539994935</v>
      </c>
      <c r="E11" s="25">
        <v>79.256475124904199</v>
      </c>
      <c r="F11" s="25">
        <v>74.723185693122446</v>
      </c>
      <c r="G11" s="25">
        <v>86.870002733867381</v>
      </c>
      <c r="H11" s="17">
        <v>5</v>
      </c>
      <c r="I11" s="17" t="s">
        <v>286</v>
      </c>
      <c r="J11" s="1"/>
    </row>
    <row r="12" spans="1:10" ht="24" customHeight="1">
      <c r="A12" s="37" t="s">
        <v>14</v>
      </c>
      <c r="B12" s="37" t="s">
        <v>287</v>
      </c>
      <c r="C12" s="38">
        <v>59.757200635767781</v>
      </c>
      <c r="D12" s="38">
        <v>57.233193745875774</v>
      </c>
      <c r="E12" s="38">
        <v>55.377087888713646</v>
      </c>
      <c r="F12" s="38">
        <v>28.235128663153667</v>
      </c>
      <c r="G12" s="38">
        <v>78.80683539994935</v>
      </c>
      <c r="H12" s="37">
        <v>4</v>
      </c>
      <c r="I12" s="37" t="s">
        <v>288</v>
      </c>
      <c r="J12" s="1"/>
    </row>
    <row r="13" spans="1:10" ht="24" customHeight="1">
      <c r="A13" s="39" t="s">
        <v>19</v>
      </c>
      <c r="B13" s="39" t="s">
        <v>219</v>
      </c>
      <c r="C13" s="40">
        <v>13.683680803393868</v>
      </c>
      <c r="D13" s="40">
        <v>13.753285892482076</v>
      </c>
      <c r="E13" s="40">
        <v>13.374350868995437</v>
      </c>
      <c r="F13" s="40">
        <v>11.439024066335318</v>
      </c>
      <c r="G13" s="40">
        <v>14.801709976778142</v>
      </c>
      <c r="H13" s="39">
        <v>6</v>
      </c>
      <c r="I13" s="39" t="s">
        <v>289</v>
      </c>
      <c r="J13" s="1"/>
    </row>
    <row r="14" spans="1:10" ht="24" customHeight="1">
      <c r="A14" s="17" t="s">
        <v>19</v>
      </c>
      <c r="B14" s="17" t="s">
        <v>169</v>
      </c>
      <c r="C14" s="25">
        <v>10.508080162844196</v>
      </c>
      <c r="D14" s="25">
        <v>8.491029022841289</v>
      </c>
      <c r="E14" s="25">
        <v>8.3721052286763609</v>
      </c>
      <c r="F14" s="25">
        <v>6.0224680854078469</v>
      </c>
      <c r="G14" s="25">
        <v>10.508080162844196</v>
      </c>
      <c r="H14" s="17">
        <v>5</v>
      </c>
      <c r="I14" s="17" t="s">
        <v>284</v>
      </c>
      <c r="J14" s="1"/>
    </row>
    <row r="15" spans="1:10" ht="24" customHeight="1">
      <c r="A15" s="17" t="s">
        <v>19</v>
      </c>
      <c r="B15" s="17" t="s">
        <v>170</v>
      </c>
      <c r="C15" s="25">
        <v>28.97402244750181</v>
      </c>
      <c r="D15" s="25">
        <v>26.762367491166074</v>
      </c>
      <c r="E15" s="25">
        <v>27.076574467444789</v>
      </c>
      <c r="F15" s="25">
        <v>25.405286343612332</v>
      </c>
      <c r="G15" s="25">
        <v>28.97402244750181</v>
      </c>
      <c r="H15" s="17">
        <v>5</v>
      </c>
      <c r="I15" s="17" t="s">
        <v>285</v>
      </c>
      <c r="J15" s="1"/>
    </row>
    <row r="16" spans="1:10" ht="24" customHeight="1">
      <c r="A16" s="17" t="s">
        <v>19</v>
      </c>
      <c r="B16" s="17" t="s">
        <v>171</v>
      </c>
      <c r="C16" s="25">
        <v>29.544711312800811</v>
      </c>
      <c r="D16" s="25">
        <v>29.814165458900028</v>
      </c>
      <c r="E16" s="25">
        <v>30.447915317606849</v>
      </c>
      <c r="F16" s="25">
        <v>29.244712783023772</v>
      </c>
      <c r="G16" s="25">
        <v>31.909225712024607</v>
      </c>
      <c r="H16" s="17">
        <v>5</v>
      </c>
      <c r="I16" s="17" t="s">
        <v>284</v>
      </c>
      <c r="J16" s="1"/>
    </row>
    <row r="17" spans="1:10" ht="24" customHeight="1">
      <c r="A17" s="17" t="s">
        <v>19</v>
      </c>
      <c r="B17" s="17" t="s">
        <v>172</v>
      </c>
      <c r="C17" s="25">
        <v>9.8924990918317288</v>
      </c>
      <c r="D17" s="25">
        <v>9.0555235700521681</v>
      </c>
      <c r="E17" s="25">
        <v>8.8807646915406551</v>
      </c>
      <c r="F17" s="25">
        <v>8.0888403892487251</v>
      </c>
      <c r="G17" s="25">
        <v>9.8924990918317288</v>
      </c>
      <c r="H17" s="17">
        <v>5</v>
      </c>
      <c r="I17" s="17" t="s">
        <v>286</v>
      </c>
      <c r="J17" s="1"/>
    </row>
    <row r="18" spans="1:10" ht="24" customHeight="1">
      <c r="A18" s="37" t="s">
        <v>19</v>
      </c>
      <c r="B18" s="37" t="s">
        <v>287</v>
      </c>
      <c r="C18" s="38">
        <v>19.741051305173002</v>
      </c>
      <c r="D18" s="38">
        <v>17.90894553060912</v>
      </c>
      <c r="E18" s="38">
        <v>18.530771385739889</v>
      </c>
      <c r="F18" s="38">
        <v>8.491029022841289</v>
      </c>
      <c r="G18" s="38">
        <v>29.814165458900028</v>
      </c>
      <c r="H18" s="37">
        <v>4</v>
      </c>
      <c r="I18" s="37" t="s">
        <v>288</v>
      </c>
      <c r="J18" s="1"/>
    </row>
    <row r="19" spans="1:10" ht="24" customHeight="1">
      <c r="A19" s="39" t="s">
        <v>29</v>
      </c>
      <c r="B19" s="39" t="s">
        <v>219</v>
      </c>
      <c r="C19" s="40">
        <v>49.431147379241274</v>
      </c>
      <c r="D19" s="40">
        <v>30.877837285732486</v>
      </c>
      <c r="E19" s="40">
        <v>35.418547841255062</v>
      </c>
      <c r="F19" s="40">
        <v>30.487369414314013</v>
      </c>
      <c r="G19" s="40">
        <v>49.431147379241274</v>
      </c>
      <c r="H19" s="39">
        <v>4</v>
      </c>
      <c r="I19" s="39" t="s">
        <v>283</v>
      </c>
      <c r="J19" s="1"/>
    </row>
    <row r="20" spans="1:10" ht="24" customHeight="1">
      <c r="A20" s="17" t="s">
        <v>29</v>
      </c>
      <c r="B20" s="17" t="s">
        <v>169</v>
      </c>
      <c r="C20" s="25">
        <v>20.926233035178694</v>
      </c>
      <c r="D20" s="25">
        <v>21.056652477900357</v>
      </c>
      <c r="E20" s="25">
        <v>20.886372345047302</v>
      </c>
      <c r="F20" s="25">
        <v>19.355625147994857</v>
      </c>
      <c r="G20" s="25">
        <v>21.845260866754757</v>
      </c>
      <c r="H20" s="17">
        <v>5</v>
      </c>
      <c r="I20" s="17" t="s">
        <v>284</v>
      </c>
      <c r="J20" s="1"/>
    </row>
    <row r="21" spans="1:10" ht="24" customHeight="1">
      <c r="A21" s="17" t="s">
        <v>29</v>
      </c>
      <c r="B21" s="17" t="s">
        <v>170</v>
      </c>
      <c r="C21" s="25">
        <v>36.161025928696084</v>
      </c>
      <c r="D21" s="25">
        <v>36.743084016393439</v>
      </c>
      <c r="E21" s="25">
        <v>37.06802987428329</v>
      </c>
      <c r="F21" s="25">
        <v>35.992624742017725</v>
      </c>
      <c r="G21" s="25">
        <v>38.730737582286061</v>
      </c>
      <c r="H21" s="17">
        <v>5</v>
      </c>
      <c r="I21" s="17" t="s">
        <v>285</v>
      </c>
      <c r="J21" s="1"/>
    </row>
    <row r="22" spans="1:10" ht="24" customHeight="1">
      <c r="A22" s="17" t="s">
        <v>29</v>
      </c>
      <c r="B22" s="17" t="s">
        <v>171</v>
      </c>
      <c r="C22" s="25" t="s">
        <v>256</v>
      </c>
      <c r="D22" s="25" t="s">
        <v>256</v>
      </c>
      <c r="E22" s="25" t="s">
        <v>256</v>
      </c>
      <c r="F22" s="25" t="s">
        <v>256</v>
      </c>
      <c r="G22" s="25" t="s">
        <v>256</v>
      </c>
      <c r="H22" s="17">
        <v>0</v>
      </c>
      <c r="I22" s="17" t="s">
        <v>290</v>
      </c>
      <c r="J22" s="1"/>
    </row>
    <row r="23" spans="1:10" ht="24" customHeight="1">
      <c r="A23" s="17" t="s">
        <v>29</v>
      </c>
      <c r="B23" s="17" t="s">
        <v>172</v>
      </c>
      <c r="C23" s="25">
        <v>32.757580208639347</v>
      </c>
      <c r="D23" s="25">
        <v>26.049096417006162</v>
      </c>
      <c r="E23" s="25">
        <v>27.387378200009522</v>
      </c>
      <c r="F23" s="25">
        <v>24.856899638946778</v>
      </c>
      <c r="G23" s="25">
        <v>32.757580208639347</v>
      </c>
      <c r="H23" s="17">
        <v>5</v>
      </c>
      <c r="I23" s="17" t="s">
        <v>286</v>
      </c>
      <c r="J23" s="1"/>
    </row>
    <row r="24" spans="1:10" ht="24" customHeight="1">
      <c r="A24" s="37" t="s">
        <v>29</v>
      </c>
      <c r="B24" s="37" t="s">
        <v>287</v>
      </c>
      <c r="C24" s="38">
        <v>32.757580208639347</v>
      </c>
      <c r="D24" s="38">
        <v>26.049096417006162</v>
      </c>
      <c r="E24" s="38">
        <v>27.949610970433316</v>
      </c>
      <c r="F24" s="38">
        <v>21.056652477900357</v>
      </c>
      <c r="G24" s="38">
        <v>36.743084016393439</v>
      </c>
      <c r="H24" s="37">
        <v>3</v>
      </c>
      <c r="I24" s="37" t="s">
        <v>288</v>
      </c>
      <c r="J24" s="1"/>
    </row>
    <row r="25" spans="1:10" ht="24" customHeight="1">
      <c r="A25" s="39" t="s">
        <v>34</v>
      </c>
      <c r="B25" s="39" t="s">
        <v>219</v>
      </c>
      <c r="C25" s="40">
        <v>39.439248986951362</v>
      </c>
      <c r="D25" s="40">
        <v>39.53211660721341</v>
      </c>
      <c r="E25" s="40">
        <v>39.159080742663335</v>
      </c>
      <c r="F25" s="40">
        <v>36.486504130799005</v>
      </c>
      <c r="G25" s="40">
        <v>41.476979356162055</v>
      </c>
      <c r="H25" s="39">
        <v>6</v>
      </c>
      <c r="I25" s="39" t="s">
        <v>289</v>
      </c>
      <c r="J25" s="1"/>
    </row>
    <row r="26" spans="1:10" ht="24" customHeight="1">
      <c r="A26" s="17" t="s">
        <v>34</v>
      </c>
      <c r="B26" s="17" t="s">
        <v>169</v>
      </c>
      <c r="C26" s="25">
        <v>32.824877893476554</v>
      </c>
      <c r="D26" s="25">
        <v>31.994414980760734</v>
      </c>
      <c r="E26" s="25">
        <v>31.768321869024511</v>
      </c>
      <c r="F26" s="25">
        <v>29.98497426020149</v>
      </c>
      <c r="G26" s="25">
        <v>33.431154647078984</v>
      </c>
      <c r="H26" s="17">
        <v>5</v>
      </c>
      <c r="I26" s="17" t="s">
        <v>284</v>
      </c>
      <c r="J26" s="1"/>
    </row>
    <row r="27" spans="1:10" ht="24" customHeight="1">
      <c r="A27" s="17" t="s">
        <v>34</v>
      </c>
      <c r="B27" s="17" t="s">
        <v>170</v>
      </c>
      <c r="C27" s="25">
        <v>22.498642288196958</v>
      </c>
      <c r="D27" s="25">
        <v>22.705132759080012</v>
      </c>
      <c r="E27" s="25">
        <v>23.063883810705434</v>
      </c>
      <c r="F27" s="25">
        <v>21.649419485108531</v>
      </c>
      <c r="G27" s="25">
        <v>24.611371145374449</v>
      </c>
      <c r="H27" s="17">
        <v>5</v>
      </c>
      <c r="I27" s="17" t="s">
        <v>285</v>
      </c>
      <c r="J27" s="1"/>
    </row>
    <row r="28" spans="1:10" ht="24" customHeight="1">
      <c r="A28" s="17" t="s">
        <v>34</v>
      </c>
      <c r="B28" s="17" t="s">
        <v>171</v>
      </c>
      <c r="C28" s="25">
        <v>12.777143412674917</v>
      </c>
      <c r="D28" s="25">
        <v>12.755355069062807</v>
      </c>
      <c r="E28" s="25">
        <v>12.687956428093305</v>
      </c>
      <c r="F28" s="25">
        <v>12.029429169382977</v>
      </c>
      <c r="G28" s="25">
        <v>13.125009431594982</v>
      </c>
      <c r="H28" s="17">
        <v>5</v>
      </c>
      <c r="I28" s="17" t="s">
        <v>284</v>
      </c>
      <c r="J28" s="1"/>
    </row>
    <row r="29" spans="1:10" ht="24" customHeight="1">
      <c r="A29" s="17" t="s">
        <v>34</v>
      </c>
      <c r="B29" s="17" t="s">
        <v>172</v>
      </c>
      <c r="C29" s="25">
        <v>6.6159590444197267</v>
      </c>
      <c r="D29" s="25">
        <v>6.7941368159307247</v>
      </c>
      <c r="E29" s="25">
        <v>7.2996896587422881</v>
      </c>
      <c r="F29" s="25">
        <v>6.1956964484341457</v>
      </c>
      <c r="G29" s="25">
        <v>9.1290924830772759</v>
      </c>
      <c r="H29" s="17">
        <v>5</v>
      </c>
      <c r="I29" s="17" t="s">
        <v>286</v>
      </c>
      <c r="J29" s="1"/>
    </row>
    <row r="30" spans="1:10" ht="24" customHeight="1">
      <c r="A30" s="37" t="s">
        <v>34</v>
      </c>
      <c r="B30" s="37" t="s">
        <v>287</v>
      </c>
      <c r="C30" s="38">
        <v>17.637892850435939</v>
      </c>
      <c r="D30" s="38">
        <v>17.730243914071409</v>
      </c>
      <c r="E30" s="38">
        <v>18.56225990620857</v>
      </c>
      <c r="F30" s="38">
        <v>6.7941368159307247</v>
      </c>
      <c r="G30" s="38">
        <v>31.994414980760734</v>
      </c>
      <c r="H30" s="37">
        <v>4</v>
      </c>
      <c r="I30" s="37" t="s">
        <v>288</v>
      </c>
      <c r="J30" s="1"/>
    </row>
    <row r="31" spans="1:10" ht="24" customHeight="1">
      <c r="A31" s="39" t="s">
        <v>253</v>
      </c>
      <c r="B31" s="39" t="s">
        <v>219</v>
      </c>
      <c r="C31" s="41">
        <v>0.57723070304335755</v>
      </c>
      <c r="D31" s="41">
        <v>0.77878332130626893</v>
      </c>
      <c r="E31" s="41">
        <v>0.78296594767417949</v>
      </c>
      <c r="F31" s="41">
        <v>0.57723070304335755</v>
      </c>
      <c r="G31" s="41">
        <v>0.9971796083135076</v>
      </c>
      <c r="H31" s="39">
        <v>6</v>
      </c>
      <c r="I31" s="39" t="s">
        <v>289</v>
      </c>
      <c r="J31" s="1"/>
    </row>
    <row r="32" spans="1:10" ht="24" customHeight="1">
      <c r="A32" s="17" t="s">
        <v>253</v>
      </c>
      <c r="B32" s="17" t="s">
        <v>169</v>
      </c>
      <c r="C32" s="27">
        <v>0.96172010995446267</v>
      </c>
      <c r="D32" s="27">
        <v>0.93277838302853389</v>
      </c>
      <c r="E32" s="27">
        <v>0.92853490589375198</v>
      </c>
      <c r="F32" s="27">
        <v>0.82814428841066701</v>
      </c>
      <c r="G32" s="27">
        <v>1.0264935034040135</v>
      </c>
      <c r="H32" s="17">
        <v>5</v>
      </c>
      <c r="I32" s="17" t="s">
        <v>284</v>
      </c>
      <c r="J32" s="1"/>
    </row>
    <row r="33" spans="1:10" ht="24" customHeight="1">
      <c r="A33" s="17" t="s">
        <v>253</v>
      </c>
      <c r="B33" s="17" t="s">
        <v>170</v>
      </c>
      <c r="C33" s="27">
        <v>0.83119447186574535</v>
      </c>
      <c r="D33" s="27">
        <v>0.82895600787918577</v>
      </c>
      <c r="E33" s="27">
        <v>0.85380628478389653</v>
      </c>
      <c r="F33" s="27">
        <v>0.77219897721989772</v>
      </c>
      <c r="G33" s="27">
        <v>1.0278773397052967</v>
      </c>
      <c r="H33" s="17">
        <v>5</v>
      </c>
      <c r="I33" s="17" t="s">
        <v>285</v>
      </c>
      <c r="J33" s="1"/>
    </row>
    <row r="34" spans="1:10" ht="24" customHeight="1">
      <c r="A34" s="17" t="s">
        <v>253</v>
      </c>
      <c r="B34" s="17" t="s">
        <v>171</v>
      </c>
      <c r="C34" s="27">
        <v>0.76804294885986268</v>
      </c>
      <c r="D34" s="27">
        <v>0.76804294885986268</v>
      </c>
      <c r="E34" s="27">
        <v>0.78363415900339817</v>
      </c>
      <c r="F34" s="27">
        <v>0.73754282894049972</v>
      </c>
      <c r="G34" s="27">
        <v>0.86726820075072886</v>
      </c>
      <c r="H34" s="17">
        <v>5</v>
      </c>
      <c r="I34" s="17" t="s">
        <v>284</v>
      </c>
      <c r="J34" s="1"/>
    </row>
    <row r="35" spans="1:10" ht="24" customHeight="1">
      <c r="A35" s="17" t="s">
        <v>253</v>
      </c>
      <c r="B35" s="17" t="s">
        <v>172</v>
      </c>
      <c r="C35" s="27">
        <v>0.76753300330033003</v>
      </c>
      <c r="D35" s="27">
        <v>0.72556262702686669</v>
      </c>
      <c r="E35" s="27">
        <v>0.73084503063479134</v>
      </c>
      <c r="F35" s="27">
        <v>0.70002210363446904</v>
      </c>
      <c r="G35" s="27">
        <v>0.76753300330033003</v>
      </c>
      <c r="H35" s="17">
        <v>5</v>
      </c>
      <c r="I35" s="17" t="s">
        <v>286</v>
      </c>
      <c r="J35" s="1"/>
    </row>
    <row r="36" spans="1:10" ht="24" customHeight="1">
      <c r="A36" s="37" t="s">
        <v>253</v>
      </c>
      <c r="B36" s="37" t="s">
        <v>287</v>
      </c>
      <c r="C36" s="42">
        <v>0.79961871036280407</v>
      </c>
      <c r="D36" s="42">
        <v>0.79849947836952428</v>
      </c>
      <c r="E36" s="42">
        <v>0.81383499169861229</v>
      </c>
      <c r="F36" s="42">
        <v>0.72556262702686669</v>
      </c>
      <c r="G36" s="42">
        <v>0.93277838302853389</v>
      </c>
      <c r="H36" s="37">
        <v>4</v>
      </c>
      <c r="I36" s="37" t="s">
        <v>288</v>
      </c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82" t="s">
        <v>291</v>
      </c>
      <c r="B38" s="83"/>
      <c r="C38" s="83"/>
      <c r="D38" s="83"/>
      <c r="E38" s="83"/>
      <c r="F38" s="83"/>
      <c r="G38" s="83"/>
      <c r="H38" s="83"/>
      <c r="I38" s="84"/>
      <c r="J38" s="1"/>
    </row>
    <row r="39" spans="1:10">
      <c r="A39" s="85"/>
      <c r="B39" s="86"/>
      <c r="C39" s="86"/>
      <c r="D39" s="86"/>
      <c r="E39" s="86"/>
      <c r="F39" s="86"/>
      <c r="G39" s="86"/>
      <c r="H39" s="86"/>
      <c r="I39" s="87"/>
      <c r="J39" s="1"/>
    </row>
    <row r="40" spans="1:10" ht="34" customHeight="1">
      <c r="A40" s="13" t="s">
        <v>4</v>
      </c>
      <c r="B40" s="14" t="s">
        <v>219</v>
      </c>
      <c r="C40" s="14" t="s">
        <v>0</v>
      </c>
      <c r="D40" s="14" t="s">
        <v>292</v>
      </c>
      <c r="E40" s="88" t="s">
        <v>7</v>
      </c>
      <c r="F40" s="88"/>
      <c r="G40" s="88"/>
      <c r="H40" s="88"/>
      <c r="I40" s="89"/>
      <c r="J40" s="1"/>
    </row>
    <row r="41" spans="1:10" ht="34" customHeight="1">
      <c r="A41" s="43" t="s">
        <v>14</v>
      </c>
      <c r="B41" s="44">
        <v>80.10556875355384</v>
      </c>
      <c r="C41" s="44">
        <v>57.233193745875774</v>
      </c>
      <c r="D41" s="44">
        <v>22.872375007678066</v>
      </c>
      <c r="E41" s="90" t="s">
        <v>293</v>
      </c>
      <c r="F41" s="90"/>
      <c r="G41" s="90"/>
      <c r="H41" s="90"/>
      <c r="I41" s="90"/>
      <c r="J41" s="1"/>
    </row>
    <row r="42" spans="1:10" ht="34" customHeight="1">
      <c r="A42" s="17" t="s">
        <v>19</v>
      </c>
      <c r="B42" s="25">
        <v>13.753285892482076</v>
      </c>
      <c r="C42" s="25">
        <v>17.90894553060912</v>
      </c>
      <c r="D42" s="25">
        <v>-4.1556596381270445</v>
      </c>
      <c r="E42" s="91" t="s">
        <v>294</v>
      </c>
      <c r="F42" s="91"/>
      <c r="G42" s="91"/>
      <c r="H42" s="91"/>
      <c r="I42" s="91"/>
      <c r="J42" s="1"/>
    </row>
    <row r="43" spans="1:10" ht="34" customHeight="1">
      <c r="A43" s="17" t="s">
        <v>29</v>
      </c>
      <c r="B43" s="25">
        <v>30.877837285732486</v>
      </c>
      <c r="C43" s="25">
        <v>26.049096417006162</v>
      </c>
      <c r="D43" s="25">
        <v>4.8287408687263245</v>
      </c>
      <c r="E43" s="91" t="s">
        <v>295</v>
      </c>
      <c r="F43" s="91"/>
      <c r="G43" s="91"/>
      <c r="H43" s="91"/>
      <c r="I43" s="91"/>
      <c r="J43" s="1"/>
    </row>
    <row r="44" spans="1:10" ht="34" customHeight="1">
      <c r="A44" s="17" t="s">
        <v>34</v>
      </c>
      <c r="B44" s="25">
        <v>39.53211660721341</v>
      </c>
      <c r="C44" s="25">
        <v>17.730243914071409</v>
      </c>
      <c r="D44" s="25">
        <v>21.801872693142002</v>
      </c>
      <c r="E44" s="91" t="s">
        <v>296</v>
      </c>
      <c r="F44" s="91"/>
      <c r="G44" s="91"/>
      <c r="H44" s="91"/>
      <c r="I44" s="91"/>
      <c r="J44" s="1"/>
    </row>
    <row r="45" spans="1:10" ht="34" customHeight="1">
      <c r="A45" s="17" t="s">
        <v>253</v>
      </c>
      <c r="B45" s="27">
        <v>0.77878332130626893</v>
      </c>
      <c r="C45" s="27">
        <v>0.79849947836952428</v>
      </c>
      <c r="D45" s="27">
        <v>-1.9716157063255357E-2</v>
      </c>
      <c r="E45" s="91" t="s">
        <v>297</v>
      </c>
      <c r="F45" s="91"/>
      <c r="G45" s="91"/>
      <c r="H45" s="91"/>
      <c r="I45" s="91"/>
      <c r="J45" s="1"/>
    </row>
    <row r="46" spans="1:10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>
      <c r="A48" s="1"/>
      <c r="B48" s="1"/>
      <c r="C48" s="1"/>
      <c r="D48" s="1"/>
      <c r="E48" s="1"/>
      <c r="F48" s="1"/>
      <c r="G48" s="1"/>
      <c r="H48" s="1"/>
      <c r="I48" s="1"/>
      <c r="J48" s="1"/>
    </row>
  </sheetData>
  <mergeCells count="7">
    <mergeCell ref="E44:I44"/>
    <mergeCell ref="E45:I45"/>
    <mergeCell ref="A38:I39"/>
    <mergeCell ref="E40:I40"/>
    <mergeCell ref="E41:I41"/>
    <mergeCell ref="E42:I42"/>
    <mergeCell ref="E43:I43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97706"/>
  </sheetPr>
  <dimension ref="A1:M41"/>
  <sheetViews>
    <sheetView showGridLines="0" workbookViewId="0">
      <pane ySplit="5" topLeftCell="A6" activePane="bottomLeft" state="frozen"/>
      <selection pane="bottomLeft"/>
    </sheetView>
  </sheetViews>
  <sheetFormatPr defaultRowHeight="14"/>
  <cols>
    <col min="1" max="1" width="28" customWidth="1"/>
    <col min="2" max="2" width="14" customWidth="1"/>
    <col min="3" max="3" width="18" customWidth="1"/>
    <col min="4" max="4" width="16" customWidth="1"/>
    <col min="5" max="5" width="20" customWidth="1"/>
    <col min="6" max="6" width="28" customWidth="1"/>
    <col min="7" max="8" width="15" customWidth="1"/>
    <col min="9" max="9" width="3" customWidth="1"/>
    <col min="10" max="10" width="27" customWidth="1"/>
    <col min="11" max="11" width="15" customWidth="1"/>
    <col min="12" max="12" width="12" customWidth="1"/>
    <col min="13" max="13" width="22" customWidth="1"/>
  </cols>
  <sheetData>
    <row r="1" spans="1:1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5" customHeight="1">
      <c r="A2" s="8" t="s">
        <v>298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11" t="str">
        <f>HYPERLINK("#'Home'!A1","← Back to Home")</f>
        <v>← Back to Home</v>
      </c>
    </row>
    <row r="3" spans="1:13" ht="20" customHeight="1">
      <c r="A3" s="10" t="s">
        <v>299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12" t="str">
        <f>HYPERLINK("#'A8 - Sources'!A1","Source register ↗")</f>
        <v>Source register ↗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22" customHeight="1">
      <c r="A5" s="5" t="s">
        <v>300</v>
      </c>
      <c r="B5" s="6"/>
      <c r="C5" s="6"/>
      <c r="D5" s="6"/>
      <c r="E5" s="6"/>
      <c r="F5" s="6"/>
      <c r="G5" s="6"/>
      <c r="H5" s="7"/>
      <c r="I5" s="1"/>
      <c r="J5" s="5" t="s">
        <v>301</v>
      </c>
      <c r="K5" s="6"/>
      <c r="L5" s="6"/>
      <c r="M5" s="7"/>
    </row>
    <row r="6" spans="1:1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34" customHeight="1">
      <c r="A7" s="92" t="s">
        <v>302</v>
      </c>
      <c r="B7" s="93"/>
      <c r="C7" s="93"/>
      <c r="D7" s="93"/>
      <c r="E7" s="94">
        <f>'A6 - Peer Benchmark Detail'!B41</f>
        <v>80.10556875355384</v>
      </c>
      <c r="F7" s="95"/>
      <c r="G7" s="95"/>
      <c r="H7" s="96"/>
      <c r="I7" s="1"/>
      <c r="J7" s="13" t="s">
        <v>303</v>
      </c>
      <c r="K7" s="14" t="s">
        <v>304</v>
      </c>
      <c r="L7" s="14" t="s">
        <v>305</v>
      </c>
      <c r="M7" s="15" t="s">
        <v>306</v>
      </c>
    </row>
    <row r="8" spans="1:13" ht="31" customHeight="1">
      <c r="A8" s="97" t="s">
        <v>307</v>
      </c>
      <c r="B8" s="97"/>
      <c r="C8" s="97"/>
      <c r="D8" s="97"/>
      <c r="E8" s="97"/>
      <c r="F8" s="97"/>
      <c r="G8" s="97"/>
      <c r="H8" s="97"/>
      <c r="I8" s="1"/>
      <c r="J8" s="16" t="s">
        <v>308</v>
      </c>
      <c r="K8" s="45">
        <v>91722</v>
      </c>
      <c r="L8" s="16" t="s">
        <v>309</v>
      </c>
      <c r="M8" s="16" t="s">
        <v>310</v>
      </c>
    </row>
    <row r="9" spans="1:13" ht="31" customHeight="1">
      <c r="A9" s="92" t="s">
        <v>311</v>
      </c>
      <c r="B9" s="93"/>
      <c r="C9" s="93"/>
      <c r="D9" s="93"/>
      <c r="E9" s="94">
        <f>'A6 - Peer Benchmark Detail'!C41</f>
        <v>57.233193745875774</v>
      </c>
      <c r="F9" s="95"/>
      <c r="G9" s="95"/>
      <c r="H9" s="96"/>
      <c r="I9" s="1"/>
      <c r="J9" s="17" t="s">
        <v>312</v>
      </c>
      <c r="K9" s="46">
        <v>2175313</v>
      </c>
      <c r="L9" s="17" t="s">
        <v>309</v>
      </c>
      <c r="M9" s="17" t="s">
        <v>310</v>
      </c>
    </row>
    <row r="10" spans="1:13" ht="31" customHeight="1">
      <c r="A10" s="97" t="s">
        <v>307</v>
      </c>
      <c r="B10" s="97"/>
      <c r="C10" s="97"/>
      <c r="D10" s="97"/>
      <c r="E10" s="97"/>
      <c r="F10" s="97"/>
      <c r="G10" s="97"/>
      <c r="H10" s="97"/>
      <c r="I10" s="1"/>
      <c r="J10" s="17" t="s">
        <v>313</v>
      </c>
      <c r="K10" s="46">
        <v>2599077</v>
      </c>
      <c r="L10" s="17" t="s">
        <v>309</v>
      </c>
      <c r="M10" s="17" t="s">
        <v>310</v>
      </c>
    </row>
    <row r="11" spans="1:13" ht="31" customHeight="1">
      <c r="A11" s="92" t="s">
        <v>314</v>
      </c>
      <c r="B11" s="93"/>
      <c r="C11" s="93"/>
      <c r="D11" s="93"/>
      <c r="E11" s="94">
        <f>E7-E9</f>
        <v>22.872375007678066</v>
      </c>
      <c r="F11" s="95"/>
      <c r="G11" s="95"/>
      <c r="H11" s="96"/>
      <c r="I11" s="1"/>
      <c r="J11" s="17" t="s">
        <v>315</v>
      </c>
      <c r="K11" s="46">
        <f>AVERAGE(K9,K10)</f>
        <v>2387195</v>
      </c>
      <c r="L11" s="17" t="s">
        <v>309</v>
      </c>
      <c r="M11" s="17" t="s">
        <v>316</v>
      </c>
    </row>
    <row r="12" spans="1:13" ht="15" customHeight="1">
      <c r="A12" s="97" t="s">
        <v>307</v>
      </c>
      <c r="B12" s="97"/>
      <c r="C12" s="97"/>
      <c r="D12" s="97"/>
      <c r="E12" s="97"/>
      <c r="F12" s="97"/>
      <c r="G12" s="97"/>
      <c r="H12" s="97"/>
      <c r="I12" s="1"/>
      <c r="J12" s="1"/>
      <c r="K12" s="1"/>
      <c r="L12" s="1"/>
      <c r="M12" s="1"/>
    </row>
    <row r="13" spans="1:13" ht="31" customHeight="1">
      <c r="A13" s="98" t="s">
        <v>317</v>
      </c>
      <c r="B13" s="99"/>
      <c r="C13" s="99"/>
      <c r="D13" s="99"/>
      <c r="E13" s="100">
        <v>0.5</v>
      </c>
      <c r="F13" s="101"/>
      <c r="G13" s="101"/>
      <c r="H13" s="102"/>
      <c r="I13" s="1"/>
      <c r="J13" s="2" t="s">
        <v>318</v>
      </c>
      <c r="K13" s="47">
        <f>K8/K11</f>
        <v>3.842250004712644E-2</v>
      </c>
      <c r="L13" s="3"/>
      <c r="M13" s="4" t="s">
        <v>158</v>
      </c>
    </row>
    <row r="14" spans="1:13" ht="31" customHeight="1">
      <c r="A14" s="97" t="s">
        <v>307</v>
      </c>
      <c r="B14" s="97"/>
      <c r="C14" s="97"/>
      <c r="D14" s="97"/>
      <c r="E14" s="97"/>
      <c r="F14" s="97"/>
      <c r="G14" s="97"/>
      <c r="H14" s="97"/>
      <c r="I14" s="1"/>
      <c r="J14" s="48" t="s">
        <v>319</v>
      </c>
      <c r="K14" s="49">
        <v>4875.1000000000004</v>
      </c>
      <c r="L14" s="50" t="s">
        <v>320</v>
      </c>
      <c r="M14" s="51" t="s">
        <v>321</v>
      </c>
    </row>
    <row r="15" spans="1:13" ht="29" customHeight="1">
      <c r="A15" s="92" t="s">
        <v>77</v>
      </c>
      <c r="B15" s="93"/>
      <c r="C15" s="93"/>
      <c r="D15" s="93"/>
      <c r="E15" s="94">
        <f>E11*E13</f>
        <v>11.436187503839033</v>
      </c>
      <c r="F15" s="95"/>
      <c r="G15" s="95"/>
      <c r="H15" s="96"/>
      <c r="I15" s="1"/>
      <c r="J15" s="1"/>
      <c r="K15" s="1"/>
      <c r="L15" s="1"/>
      <c r="M15" s="1"/>
    </row>
    <row r="16" spans="1:13" ht="15" customHeight="1">
      <c r="A16" s="97" t="s">
        <v>307</v>
      </c>
      <c r="B16" s="97"/>
      <c r="C16" s="97"/>
      <c r="D16" s="97"/>
      <c r="E16" s="97"/>
      <c r="F16" s="97"/>
      <c r="G16" s="97"/>
      <c r="H16" s="97"/>
      <c r="I16" s="1"/>
      <c r="J16" s="1"/>
      <c r="K16" s="1"/>
      <c r="L16" s="1"/>
      <c r="M16" s="1"/>
    </row>
    <row r="17" spans="1:13" ht="29" customHeight="1">
      <c r="A17" s="92" t="s">
        <v>81</v>
      </c>
      <c r="B17" s="93"/>
      <c r="C17" s="93"/>
      <c r="D17" s="93"/>
      <c r="E17" s="94">
        <f>E7-E15</f>
        <v>68.669381249714803</v>
      </c>
      <c r="F17" s="95"/>
      <c r="G17" s="95"/>
      <c r="H17" s="96"/>
      <c r="I17" s="1"/>
      <c r="J17" s="1"/>
      <c r="K17" s="1"/>
      <c r="L17" s="1"/>
      <c r="M17" s="1"/>
    </row>
    <row r="18" spans="1:13" ht="15" customHeight="1">
      <c r="A18" s="97" t="s">
        <v>307</v>
      </c>
      <c r="B18" s="97"/>
      <c r="C18" s="97"/>
      <c r="D18" s="97"/>
      <c r="E18" s="97"/>
      <c r="F18" s="97"/>
      <c r="G18" s="97"/>
      <c r="H18" s="97"/>
      <c r="I18" s="1"/>
      <c r="J18" s="1"/>
      <c r="K18" s="1"/>
      <c r="L18" s="1"/>
      <c r="M18" s="1"/>
    </row>
    <row r="19" spans="1:13" ht="29" customHeight="1">
      <c r="A19" s="92" t="s">
        <v>322</v>
      </c>
      <c r="B19" s="93"/>
      <c r="C19" s="93"/>
      <c r="D19" s="93"/>
      <c r="E19" s="103">
        <v>4875.1000000000004</v>
      </c>
      <c r="F19" s="95"/>
      <c r="G19" s="95"/>
      <c r="H19" s="96"/>
      <c r="I19" s="1"/>
      <c r="J19" s="1"/>
      <c r="K19" s="1"/>
      <c r="L19" s="1"/>
      <c r="M19" s="1"/>
    </row>
    <row r="20" spans="1:13" ht="15" customHeight="1">
      <c r="A20" s="97" t="s">
        <v>307</v>
      </c>
      <c r="B20" s="97"/>
      <c r="C20" s="97"/>
      <c r="D20" s="97"/>
      <c r="E20" s="97"/>
      <c r="F20" s="97"/>
      <c r="G20" s="97"/>
      <c r="H20" s="97"/>
      <c r="I20" s="1"/>
      <c r="J20" s="1"/>
      <c r="K20" s="1"/>
      <c r="L20" s="1"/>
      <c r="M20" s="1"/>
    </row>
    <row r="21" spans="1:13" ht="29" customHeight="1">
      <c r="A21" s="104" t="s">
        <v>323</v>
      </c>
      <c r="B21" s="105"/>
      <c r="C21" s="105"/>
      <c r="D21" s="105"/>
      <c r="E21" s="106">
        <f>E19*E15/365</f>
        <v>152.7467334245635</v>
      </c>
      <c r="F21" s="107"/>
      <c r="G21" s="107"/>
      <c r="H21" s="108"/>
      <c r="I21" s="1"/>
      <c r="J21" s="1"/>
      <c r="K21" s="1"/>
      <c r="L21" s="1"/>
      <c r="M21" s="1"/>
    </row>
    <row r="22" spans="1:13" ht="15" customHeight="1">
      <c r="A22" s="97" t="s">
        <v>307</v>
      </c>
      <c r="B22" s="97"/>
      <c r="C22" s="97"/>
      <c r="D22" s="97"/>
      <c r="E22" s="97"/>
      <c r="F22" s="97"/>
      <c r="G22" s="97"/>
      <c r="H22" s="97"/>
      <c r="I22" s="1"/>
      <c r="J22" s="1"/>
      <c r="K22" s="1"/>
      <c r="L22" s="1"/>
      <c r="M22" s="1"/>
    </row>
    <row r="23" spans="1:13" ht="29" customHeight="1">
      <c r="A23" s="92" t="s">
        <v>324</v>
      </c>
      <c r="B23" s="93"/>
      <c r="C23" s="93"/>
      <c r="D23" s="93"/>
      <c r="E23" s="109">
        <f>K13</f>
        <v>3.842250004712644E-2</v>
      </c>
      <c r="F23" s="95"/>
      <c r="G23" s="95"/>
      <c r="H23" s="96"/>
      <c r="I23" s="1"/>
      <c r="J23" s="1"/>
      <c r="K23" s="1"/>
      <c r="L23" s="1"/>
      <c r="M23" s="1"/>
    </row>
    <row r="24" spans="1:13" ht="15" customHeight="1">
      <c r="A24" s="97" t="s">
        <v>307</v>
      </c>
      <c r="B24" s="97"/>
      <c r="C24" s="97"/>
      <c r="D24" s="97"/>
      <c r="E24" s="97"/>
      <c r="F24" s="97"/>
      <c r="G24" s="97"/>
      <c r="H24" s="97"/>
      <c r="I24" s="1"/>
      <c r="J24" s="1"/>
      <c r="K24" s="1"/>
      <c r="L24" s="1"/>
      <c r="M24" s="1"/>
    </row>
    <row r="25" spans="1:13" ht="34" customHeight="1">
      <c r="A25" s="104" t="s">
        <v>325</v>
      </c>
      <c r="B25" s="105"/>
      <c r="C25" s="105"/>
      <c r="D25" s="105"/>
      <c r="E25" s="106">
        <f>E21*E23</f>
        <v>5.8689113722037005</v>
      </c>
      <c r="F25" s="107"/>
      <c r="G25" s="107"/>
      <c r="H25" s="108"/>
      <c r="I25" s="1"/>
      <c r="J25" s="1"/>
      <c r="K25" s="1"/>
      <c r="L25" s="1"/>
      <c r="M25" s="1"/>
    </row>
    <row r="26" spans="1:13" ht="15" customHeight="1">
      <c r="A26" s="97" t="s">
        <v>307</v>
      </c>
      <c r="B26" s="97"/>
      <c r="C26" s="97"/>
      <c r="D26" s="97"/>
      <c r="E26" s="97"/>
      <c r="F26" s="97"/>
      <c r="G26" s="97"/>
      <c r="H26" s="97"/>
      <c r="I26" s="1"/>
      <c r="J26" s="1"/>
      <c r="K26" s="1"/>
      <c r="L26" s="1"/>
      <c r="M26" s="1"/>
    </row>
    <row r="27" spans="1:13" ht="29" customHeight="1">
      <c r="A27" s="92" t="s">
        <v>326</v>
      </c>
      <c r="B27" s="93"/>
      <c r="C27" s="93"/>
      <c r="D27" s="93"/>
      <c r="E27" s="103">
        <f>E25*75%</f>
        <v>4.4016835291527752</v>
      </c>
      <c r="F27" s="95"/>
      <c r="G27" s="95"/>
      <c r="H27" s="96"/>
      <c r="I27" s="1"/>
      <c r="J27" s="1"/>
      <c r="K27" s="1"/>
      <c r="L27" s="1"/>
      <c r="M27" s="1"/>
    </row>
    <row r="28" spans="1:1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22" customHeight="1">
      <c r="A30" s="5" t="s">
        <v>327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7"/>
    </row>
    <row r="31" spans="1:1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34" customHeight="1">
      <c r="A32" s="13" t="s">
        <v>328</v>
      </c>
      <c r="B32" s="14" t="s">
        <v>329</v>
      </c>
      <c r="C32" s="14" t="s">
        <v>77</v>
      </c>
      <c r="D32" s="14" t="s">
        <v>81</v>
      </c>
      <c r="E32" s="14" t="s">
        <v>330</v>
      </c>
      <c r="F32" s="15" t="s">
        <v>331</v>
      </c>
      <c r="G32" s="1"/>
      <c r="H32" s="1"/>
      <c r="I32" s="1"/>
      <c r="J32" s="1"/>
      <c r="K32" s="1"/>
      <c r="L32" s="1"/>
      <c r="M32" s="1"/>
    </row>
    <row r="33" spans="1:13" ht="28" customHeight="1">
      <c r="A33" s="16" t="s">
        <v>332</v>
      </c>
      <c r="B33" s="52">
        <v>0.25</v>
      </c>
      <c r="C33" s="24">
        <f>$E$11*B33</f>
        <v>5.7180937519195165</v>
      </c>
      <c r="D33" s="24">
        <f>$E$7-C33</f>
        <v>74.387475001634328</v>
      </c>
      <c r="E33" s="24">
        <f>$E$19*C33/365</f>
        <v>76.373366712281751</v>
      </c>
      <c r="F33" s="24">
        <f>E33*$K$13</f>
        <v>2.9344556861018503</v>
      </c>
      <c r="G33" s="1"/>
      <c r="H33" s="1"/>
      <c r="I33" s="1"/>
      <c r="J33" s="1"/>
      <c r="K33" s="1"/>
      <c r="L33" s="1"/>
      <c r="M33" s="1"/>
    </row>
    <row r="34" spans="1:13" ht="28" customHeight="1">
      <c r="A34" s="54" t="s">
        <v>333</v>
      </c>
      <c r="B34" s="55">
        <v>0.5</v>
      </c>
      <c r="C34" s="56">
        <f>$E$11*B34</f>
        <v>11.436187503839033</v>
      </c>
      <c r="D34" s="56">
        <f>$E$7-C34</f>
        <v>68.669381249714803</v>
      </c>
      <c r="E34" s="56">
        <f>$E$19*C34/365</f>
        <v>152.7467334245635</v>
      </c>
      <c r="F34" s="56">
        <f>E34*$K$13</f>
        <v>5.8689113722037005</v>
      </c>
      <c r="G34" s="1"/>
      <c r="H34" s="1"/>
      <c r="I34" s="1"/>
      <c r="J34" s="1"/>
      <c r="K34" s="1"/>
      <c r="L34" s="1"/>
      <c r="M34" s="1"/>
    </row>
    <row r="35" spans="1:13" ht="28" customHeight="1">
      <c r="A35" s="17" t="s">
        <v>334</v>
      </c>
      <c r="B35" s="53">
        <v>0.75</v>
      </c>
      <c r="C35" s="25">
        <f>$E$11*B35</f>
        <v>17.154281255758548</v>
      </c>
      <c r="D35" s="25">
        <f>$E$7-C35</f>
        <v>62.951287497795292</v>
      </c>
      <c r="E35" s="25">
        <f>$E$19*C35/365</f>
        <v>229.12010013684522</v>
      </c>
      <c r="F35" s="25">
        <f>E35*$K$13</f>
        <v>8.8033670583055503</v>
      </c>
      <c r="G35" s="1"/>
      <c r="H35" s="1"/>
      <c r="I35" s="1"/>
      <c r="J35" s="1"/>
      <c r="K35" s="1"/>
      <c r="L35" s="1"/>
      <c r="M35" s="1"/>
    </row>
    <row r="36" spans="1:13" ht="28" customHeight="1">
      <c r="A36" s="57" t="s">
        <v>335</v>
      </c>
      <c r="B36" s="58">
        <v>1</v>
      </c>
      <c r="C36" s="32">
        <f>$E$11*B36</f>
        <v>22.872375007678066</v>
      </c>
      <c r="D36" s="32">
        <f>$E$7-C36</f>
        <v>57.233193745875774</v>
      </c>
      <c r="E36" s="32">
        <f>$E$19*C36/365</f>
        <v>305.493466849127</v>
      </c>
      <c r="F36" s="32">
        <f>E36*$K$13</f>
        <v>11.737822744407401</v>
      </c>
      <c r="G36" s="1"/>
      <c r="H36" s="1"/>
      <c r="I36" s="1"/>
      <c r="J36" s="1"/>
      <c r="K36" s="1"/>
      <c r="L36" s="1"/>
      <c r="M36" s="1"/>
    </row>
    <row r="37" spans="1:1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>
      <c r="A38" s="110" t="s">
        <v>336</v>
      </c>
      <c r="B38" s="111"/>
      <c r="C38" s="111"/>
      <c r="D38" s="111"/>
      <c r="E38" s="111"/>
      <c r="F38" s="111"/>
      <c r="G38" s="111"/>
      <c r="H38" s="111"/>
      <c r="I38" s="111"/>
      <c r="J38" s="111"/>
      <c r="K38" s="111"/>
      <c r="L38" s="111"/>
      <c r="M38" s="112"/>
    </row>
    <row r="39" spans="1:13">
      <c r="A39" s="113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114"/>
    </row>
    <row r="40" spans="1:13">
      <c r="A40" s="115"/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7"/>
    </row>
    <row r="41" spans="1:1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</sheetData>
  <mergeCells count="33">
    <mergeCell ref="A26:H26"/>
    <mergeCell ref="A27:D27"/>
    <mergeCell ref="E27:H27"/>
    <mergeCell ref="A38:M40"/>
    <mergeCell ref="A22:H22"/>
    <mergeCell ref="A23:D23"/>
    <mergeCell ref="E23:H23"/>
    <mergeCell ref="A24:H24"/>
    <mergeCell ref="A25:D25"/>
    <mergeCell ref="E25:H25"/>
    <mergeCell ref="A18:H18"/>
    <mergeCell ref="A19:D19"/>
    <mergeCell ref="E19:H19"/>
    <mergeCell ref="A20:H20"/>
    <mergeCell ref="A21:D21"/>
    <mergeCell ref="E21:H21"/>
    <mergeCell ref="A14:H14"/>
    <mergeCell ref="A15:D15"/>
    <mergeCell ref="E15:H15"/>
    <mergeCell ref="A16:H16"/>
    <mergeCell ref="A17:D17"/>
    <mergeCell ref="E17:H17"/>
    <mergeCell ref="A10:H10"/>
    <mergeCell ref="A11:D11"/>
    <mergeCell ref="E11:H11"/>
    <mergeCell ref="A12:H12"/>
    <mergeCell ref="A13:D13"/>
    <mergeCell ref="E13:H13"/>
    <mergeCell ref="A7:D7"/>
    <mergeCell ref="E7:H7"/>
    <mergeCell ref="A8:H8"/>
    <mergeCell ref="A9:D9"/>
    <mergeCell ref="E9:H9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667085"/>
  </sheetPr>
  <dimension ref="A1:J70"/>
  <sheetViews>
    <sheetView showGridLines="0" workbookViewId="0">
      <pane ySplit="6" topLeftCell="A7" activePane="bottomLeft" state="frozen"/>
      <selection pane="bottomLeft"/>
    </sheetView>
  </sheetViews>
  <sheetFormatPr defaultRowHeight="14"/>
  <cols>
    <col min="1" max="1" width="13" customWidth="1"/>
    <col min="2" max="2" width="16" customWidth="1"/>
    <col min="3" max="3" width="44" customWidth="1"/>
    <col min="4" max="4" width="14" customWidth="1"/>
    <col min="5" max="5" width="46" customWidth="1"/>
    <col min="6" max="6" width="55" customWidth="1"/>
    <col min="7" max="7" width="46" customWidth="1"/>
    <col min="8" max="8" width="22" customWidth="1"/>
    <col min="9" max="9" width="55" customWidth="1"/>
    <col min="10" max="10" width="18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5" customHeight="1">
      <c r="A2" s="8" t="s">
        <v>337</v>
      </c>
      <c r="B2" s="9"/>
      <c r="C2" s="9"/>
      <c r="D2" s="9"/>
      <c r="E2" s="9"/>
      <c r="F2" s="9"/>
      <c r="G2" s="9"/>
      <c r="H2" s="9"/>
      <c r="I2" s="9"/>
      <c r="J2" s="11" t="str">
        <f>HYPERLINK("#'Home'!A1","← Back to Home")</f>
        <v>← Back to Home</v>
      </c>
    </row>
    <row r="3" spans="1:10" ht="20" customHeight="1">
      <c r="A3" s="10" t="s">
        <v>338</v>
      </c>
      <c r="B3" s="1"/>
      <c r="C3" s="1"/>
      <c r="D3" s="1"/>
      <c r="E3" s="1"/>
      <c r="F3" s="1"/>
      <c r="G3" s="1"/>
      <c r="H3" s="1"/>
      <c r="I3" s="1"/>
      <c r="J3" s="1"/>
    </row>
    <row r="4" spans="1:10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34" customHeight="1">
      <c r="A6" s="13" t="s">
        <v>339</v>
      </c>
      <c r="B6" s="14" t="s">
        <v>195</v>
      </c>
      <c r="C6" s="14" t="s">
        <v>340</v>
      </c>
      <c r="D6" s="14" t="s">
        <v>341</v>
      </c>
      <c r="E6" s="14" t="s">
        <v>342</v>
      </c>
      <c r="F6" s="14" t="s">
        <v>343</v>
      </c>
      <c r="G6" s="14" t="s">
        <v>344</v>
      </c>
      <c r="H6" s="14" t="s">
        <v>345</v>
      </c>
      <c r="I6" s="15" t="s">
        <v>115</v>
      </c>
      <c r="J6" s="1"/>
    </row>
    <row r="7" spans="1:10" ht="38" customHeight="1">
      <c r="A7" s="16" t="s">
        <v>346</v>
      </c>
      <c r="B7" s="16" t="s">
        <v>219</v>
      </c>
      <c r="C7" s="16" t="s">
        <v>347</v>
      </c>
      <c r="D7" s="16" t="s">
        <v>348</v>
      </c>
      <c r="E7" s="16" t="s">
        <v>349</v>
      </c>
      <c r="F7" s="16" t="s">
        <v>350</v>
      </c>
      <c r="G7" s="16" t="s">
        <v>351</v>
      </c>
      <c r="H7" s="16" t="s">
        <v>352</v>
      </c>
      <c r="I7" s="16" t="s">
        <v>353</v>
      </c>
      <c r="J7" s="1"/>
    </row>
    <row r="8" spans="1:10" ht="38" customHeight="1">
      <c r="A8" s="18" t="s">
        <v>354</v>
      </c>
      <c r="B8" s="18" t="s">
        <v>219</v>
      </c>
      <c r="C8" s="18" t="s">
        <v>355</v>
      </c>
      <c r="D8" s="18" t="s">
        <v>356</v>
      </c>
      <c r="E8" s="18" t="s">
        <v>357</v>
      </c>
      <c r="F8" s="18" t="s">
        <v>358</v>
      </c>
      <c r="G8" s="18" t="s">
        <v>359</v>
      </c>
      <c r="H8" s="18" t="s">
        <v>352</v>
      </c>
      <c r="I8" s="18" t="s">
        <v>360</v>
      </c>
      <c r="J8" s="1"/>
    </row>
    <row r="9" spans="1:10" ht="38" customHeight="1">
      <c r="A9" s="17" t="s">
        <v>361</v>
      </c>
      <c r="B9" s="17" t="s">
        <v>219</v>
      </c>
      <c r="C9" s="17" t="s">
        <v>362</v>
      </c>
      <c r="D9" s="17" t="s">
        <v>363</v>
      </c>
      <c r="E9" s="17" t="s">
        <v>364</v>
      </c>
      <c r="F9" s="17" t="s">
        <v>365</v>
      </c>
      <c r="G9" s="17" t="s">
        <v>366</v>
      </c>
      <c r="H9" s="17" t="s">
        <v>352</v>
      </c>
      <c r="I9" s="17" t="s">
        <v>367</v>
      </c>
      <c r="J9" s="1"/>
    </row>
    <row r="10" spans="1:10" ht="38" customHeight="1">
      <c r="A10" s="18" t="s">
        <v>368</v>
      </c>
      <c r="B10" s="18" t="s">
        <v>219</v>
      </c>
      <c r="C10" s="18" t="s">
        <v>369</v>
      </c>
      <c r="D10" s="18" t="s">
        <v>370</v>
      </c>
      <c r="E10" s="18" t="s">
        <v>371</v>
      </c>
      <c r="F10" s="18" t="s">
        <v>372</v>
      </c>
      <c r="G10" s="18" t="s">
        <v>373</v>
      </c>
      <c r="H10" s="18" t="s">
        <v>352</v>
      </c>
      <c r="I10" s="18" t="s">
        <v>374</v>
      </c>
      <c r="J10" s="1"/>
    </row>
    <row r="11" spans="1:10" ht="38" customHeight="1">
      <c r="A11" s="17" t="s">
        <v>375</v>
      </c>
      <c r="B11" s="17" t="s">
        <v>219</v>
      </c>
      <c r="C11" s="17" t="s">
        <v>376</v>
      </c>
      <c r="D11" s="17" t="s">
        <v>255</v>
      </c>
      <c r="E11" s="17" t="s">
        <v>377</v>
      </c>
      <c r="F11" s="17" t="s">
        <v>378</v>
      </c>
      <c r="G11" s="17" t="s">
        <v>379</v>
      </c>
      <c r="H11" s="17" t="s">
        <v>352</v>
      </c>
      <c r="I11" s="17" t="s">
        <v>380</v>
      </c>
      <c r="J11" s="1"/>
    </row>
    <row r="12" spans="1:10" ht="38" customHeight="1">
      <c r="A12" s="18" t="s">
        <v>381</v>
      </c>
      <c r="B12" s="18" t="s">
        <v>219</v>
      </c>
      <c r="C12" s="18" t="s">
        <v>382</v>
      </c>
      <c r="D12" s="18" t="s">
        <v>258</v>
      </c>
      <c r="E12" s="18" t="s">
        <v>383</v>
      </c>
      <c r="F12" s="18" t="s">
        <v>384</v>
      </c>
      <c r="G12" s="18" t="s">
        <v>385</v>
      </c>
      <c r="H12" s="18" t="s">
        <v>352</v>
      </c>
      <c r="I12" s="18" t="s">
        <v>386</v>
      </c>
      <c r="J12" s="1"/>
    </row>
    <row r="13" spans="1:10" ht="38" customHeight="1">
      <c r="A13" s="17" t="s">
        <v>387</v>
      </c>
      <c r="B13" s="17" t="s">
        <v>219</v>
      </c>
      <c r="C13" s="17" t="s">
        <v>388</v>
      </c>
      <c r="D13" s="17" t="s">
        <v>260</v>
      </c>
      <c r="E13" s="17" t="s">
        <v>389</v>
      </c>
      <c r="F13" s="17" t="s">
        <v>390</v>
      </c>
      <c r="G13" s="17" t="s">
        <v>391</v>
      </c>
      <c r="H13" s="17" t="s">
        <v>352</v>
      </c>
      <c r="I13" s="17" t="s">
        <v>392</v>
      </c>
      <c r="J13" s="1"/>
    </row>
    <row r="14" spans="1:10" ht="38" customHeight="1">
      <c r="A14" s="18" t="s">
        <v>393</v>
      </c>
      <c r="B14" s="18" t="s">
        <v>219</v>
      </c>
      <c r="C14" s="18" t="s">
        <v>394</v>
      </c>
      <c r="D14" s="18" t="s">
        <v>262</v>
      </c>
      <c r="E14" s="18" t="s">
        <v>395</v>
      </c>
      <c r="F14" s="18" t="s">
        <v>390</v>
      </c>
      <c r="G14" s="18" t="s">
        <v>396</v>
      </c>
      <c r="H14" s="18" t="s">
        <v>352</v>
      </c>
      <c r="I14" s="18" t="s">
        <v>397</v>
      </c>
      <c r="J14" s="1"/>
    </row>
    <row r="15" spans="1:10" ht="38" customHeight="1">
      <c r="A15" s="17" t="s">
        <v>398</v>
      </c>
      <c r="B15" s="17" t="s">
        <v>219</v>
      </c>
      <c r="C15" s="17" t="s">
        <v>399</v>
      </c>
      <c r="D15" s="17" t="s">
        <v>263</v>
      </c>
      <c r="E15" s="17" t="s">
        <v>400</v>
      </c>
      <c r="F15" s="17" t="s">
        <v>384</v>
      </c>
      <c r="G15" s="17" t="s">
        <v>401</v>
      </c>
      <c r="H15" s="17" t="s">
        <v>352</v>
      </c>
      <c r="I15" s="17" t="s">
        <v>402</v>
      </c>
      <c r="J15" s="1"/>
    </row>
    <row r="16" spans="1:10" ht="38" customHeight="1">
      <c r="A16" s="18" t="s">
        <v>403</v>
      </c>
      <c r="B16" s="18" t="s">
        <v>219</v>
      </c>
      <c r="C16" s="18" t="s">
        <v>404</v>
      </c>
      <c r="D16" s="18" t="s">
        <v>265</v>
      </c>
      <c r="E16" s="18" t="s">
        <v>405</v>
      </c>
      <c r="F16" s="18" t="s">
        <v>384</v>
      </c>
      <c r="G16" s="18" t="s">
        <v>406</v>
      </c>
      <c r="H16" s="18" t="s">
        <v>352</v>
      </c>
      <c r="I16" s="18" t="s">
        <v>407</v>
      </c>
      <c r="J16" s="1"/>
    </row>
    <row r="17" spans="1:10" ht="38" customHeight="1">
      <c r="A17" s="17" t="s">
        <v>408</v>
      </c>
      <c r="B17" s="17" t="s">
        <v>219</v>
      </c>
      <c r="C17" s="17" t="s">
        <v>409</v>
      </c>
      <c r="D17" s="17" t="s">
        <v>267</v>
      </c>
      <c r="E17" s="17" t="s">
        <v>410</v>
      </c>
      <c r="F17" s="17" t="s">
        <v>411</v>
      </c>
      <c r="G17" s="17" t="s">
        <v>412</v>
      </c>
      <c r="H17" s="17" t="s">
        <v>352</v>
      </c>
      <c r="I17" s="17" t="s">
        <v>413</v>
      </c>
      <c r="J17" s="1"/>
    </row>
    <row r="18" spans="1:10" ht="38" customHeight="1">
      <c r="A18" s="18" t="s">
        <v>414</v>
      </c>
      <c r="B18" s="18" t="s">
        <v>219</v>
      </c>
      <c r="C18" s="18" t="s">
        <v>415</v>
      </c>
      <c r="D18" s="18" t="s">
        <v>416</v>
      </c>
      <c r="E18" s="18" t="s">
        <v>417</v>
      </c>
      <c r="F18" s="18" t="s">
        <v>418</v>
      </c>
      <c r="G18" s="18" t="s">
        <v>419</v>
      </c>
      <c r="H18" s="18" t="s">
        <v>352</v>
      </c>
      <c r="I18" s="18" t="s">
        <v>420</v>
      </c>
      <c r="J18" s="1"/>
    </row>
    <row r="19" spans="1:10" ht="38" customHeight="1">
      <c r="A19" s="17" t="s">
        <v>421</v>
      </c>
      <c r="B19" s="17" t="s">
        <v>219</v>
      </c>
      <c r="C19" s="17" t="s">
        <v>422</v>
      </c>
      <c r="D19" s="17" t="s">
        <v>269</v>
      </c>
      <c r="E19" s="17" t="s">
        <v>423</v>
      </c>
      <c r="F19" s="17" t="s">
        <v>424</v>
      </c>
      <c r="G19" s="17" t="s">
        <v>425</v>
      </c>
      <c r="H19" s="17" t="s">
        <v>352</v>
      </c>
      <c r="I19" s="17" t="s">
        <v>426</v>
      </c>
      <c r="J19" s="1"/>
    </row>
    <row r="20" spans="1:10" ht="38" customHeight="1">
      <c r="A20" s="18" t="s">
        <v>427</v>
      </c>
      <c r="B20" s="18" t="s">
        <v>219</v>
      </c>
      <c r="C20" s="18" t="s">
        <v>428</v>
      </c>
      <c r="D20" s="18" t="s">
        <v>269</v>
      </c>
      <c r="E20" s="18" t="s">
        <v>429</v>
      </c>
      <c r="F20" s="18" t="s">
        <v>430</v>
      </c>
      <c r="G20" s="18" t="s">
        <v>431</v>
      </c>
      <c r="H20" s="18" t="s">
        <v>352</v>
      </c>
      <c r="I20" s="18" t="s">
        <v>432</v>
      </c>
      <c r="J20" s="1"/>
    </row>
    <row r="21" spans="1:10" ht="38" customHeight="1">
      <c r="A21" s="17" t="s">
        <v>433</v>
      </c>
      <c r="B21" s="17" t="s">
        <v>219</v>
      </c>
      <c r="C21" s="17" t="s">
        <v>434</v>
      </c>
      <c r="D21" s="17" t="s">
        <v>435</v>
      </c>
      <c r="E21" s="17" t="s">
        <v>436</v>
      </c>
      <c r="F21" s="17" t="s">
        <v>437</v>
      </c>
      <c r="G21" s="17" t="s">
        <v>438</v>
      </c>
      <c r="H21" s="17" t="s">
        <v>352</v>
      </c>
      <c r="I21" s="17" t="s">
        <v>439</v>
      </c>
      <c r="J21" s="1"/>
    </row>
    <row r="22" spans="1:10" ht="38" customHeight="1">
      <c r="A22" s="18" t="s">
        <v>440</v>
      </c>
      <c r="B22" s="18" t="s">
        <v>219</v>
      </c>
      <c r="C22" s="18" t="s">
        <v>441</v>
      </c>
      <c r="D22" s="18" t="s">
        <v>435</v>
      </c>
      <c r="E22" s="18" t="s">
        <v>442</v>
      </c>
      <c r="F22" s="18" t="s">
        <v>443</v>
      </c>
      <c r="G22" s="18" t="s">
        <v>444</v>
      </c>
      <c r="H22" s="18" t="s">
        <v>352</v>
      </c>
      <c r="I22" s="18" t="s">
        <v>445</v>
      </c>
      <c r="J22" s="1"/>
    </row>
    <row r="23" spans="1:10" ht="38" customHeight="1">
      <c r="A23" s="17" t="s">
        <v>446</v>
      </c>
      <c r="B23" s="17" t="s">
        <v>219</v>
      </c>
      <c r="C23" s="17" t="s">
        <v>447</v>
      </c>
      <c r="D23" s="17" t="s">
        <v>416</v>
      </c>
      <c r="E23" s="17" t="s">
        <v>448</v>
      </c>
      <c r="F23" s="17" t="s">
        <v>449</v>
      </c>
      <c r="G23" s="17" t="s">
        <v>450</v>
      </c>
      <c r="H23" s="17" t="s">
        <v>352</v>
      </c>
      <c r="I23" s="17" t="s">
        <v>451</v>
      </c>
      <c r="J23" s="1"/>
    </row>
    <row r="24" spans="1:10" ht="38" customHeight="1">
      <c r="A24" s="18" t="s">
        <v>452</v>
      </c>
      <c r="B24" s="18" t="s">
        <v>219</v>
      </c>
      <c r="C24" s="18" t="s">
        <v>453</v>
      </c>
      <c r="D24" s="18" t="s">
        <v>269</v>
      </c>
      <c r="E24" s="18" t="s">
        <v>454</v>
      </c>
      <c r="F24" s="18" t="s">
        <v>455</v>
      </c>
      <c r="G24" s="18" t="s">
        <v>456</v>
      </c>
      <c r="H24" s="18" t="s">
        <v>352</v>
      </c>
      <c r="I24" s="18" t="s">
        <v>457</v>
      </c>
      <c r="J24" s="1"/>
    </row>
    <row r="25" spans="1:10" ht="38" customHeight="1">
      <c r="A25" s="17" t="s">
        <v>458</v>
      </c>
      <c r="B25" s="17" t="s">
        <v>219</v>
      </c>
      <c r="C25" s="17" t="s">
        <v>459</v>
      </c>
      <c r="D25" s="17" t="s">
        <v>267</v>
      </c>
      <c r="E25" s="17" t="s">
        <v>460</v>
      </c>
      <c r="F25" s="17" t="s">
        <v>461</v>
      </c>
      <c r="G25" s="17" t="s">
        <v>462</v>
      </c>
      <c r="H25" s="17" t="s">
        <v>352</v>
      </c>
      <c r="I25" s="17" t="s">
        <v>463</v>
      </c>
      <c r="J25" s="1"/>
    </row>
    <row r="26" spans="1:10" ht="38" customHeight="1">
      <c r="A26" s="18" t="s">
        <v>464</v>
      </c>
      <c r="B26" s="18" t="s">
        <v>219</v>
      </c>
      <c r="C26" s="18" t="s">
        <v>465</v>
      </c>
      <c r="D26" s="18" t="s">
        <v>267</v>
      </c>
      <c r="E26" s="18" t="s">
        <v>466</v>
      </c>
      <c r="F26" s="18" t="s">
        <v>467</v>
      </c>
      <c r="G26" s="18" t="s">
        <v>468</v>
      </c>
      <c r="H26" s="18" t="s">
        <v>352</v>
      </c>
      <c r="I26" s="18" t="s">
        <v>469</v>
      </c>
      <c r="J26" s="1"/>
    </row>
    <row r="27" spans="1:10" ht="38" customHeight="1">
      <c r="A27" s="17" t="s">
        <v>470</v>
      </c>
      <c r="B27" s="17" t="s">
        <v>169</v>
      </c>
      <c r="C27" s="17" t="s">
        <v>471</v>
      </c>
      <c r="D27" s="17" t="s">
        <v>260</v>
      </c>
      <c r="E27" s="17" t="s">
        <v>472</v>
      </c>
      <c r="F27" s="17" t="s">
        <v>473</v>
      </c>
      <c r="G27" s="17" t="s">
        <v>474</v>
      </c>
      <c r="H27" s="17" t="s">
        <v>475</v>
      </c>
      <c r="I27" s="17" t="s">
        <v>476</v>
      </c>
      <c r="J27" s="1"/>
    </row>
    <row r="28" spans="1:10" ht="38" customHeight="1">
      <c r="A28" s="18" t="s">
        <v>477</v>
      </c>
      <c r="B28" s="18" t="s">
        <v>169</v>
      </c>
      <c r="C28" s="18" t="s">
        <v>478</v>
      </c>
      <c r="D28" s="18" t="s">
        <v>262</v>
      </c>
      <c r="E28" s="18" t="s">
        <v>479</v>
      </c>
      <c r="F28" s="18" t="s">
        <v>480</v>
      </c>
      <c r="G28" s="18" t="s">
        <v>474</v>
      </c>
      <c r="H28" s="18" t="s">
        <v>475</v>
      </c>
      <c r="I28" s="18" t="s">
        <v>476</v>
      </c>
      <c r="J28" s="1"/>
    </row>
    <row r="29" spans="1:10" ht="38" customHeight="1">
      <c r="A29" s="17" t="s">
        <v>481</v>
      </c>
      <c r="B29" s="17" t="s">
        <v>169</v>
      </c>
      <c r="C29" s="17" t="s">
        <v>478</v>
      </c>
      <c r="D29" s="17" t="s">
        <v>263</v>
      </c>
      <c r="E29" s="17" t="s">
        <v>482</v>
      </c>
      <c r="F29" s="17" t="s">
        <v>480</v>
      </c>
      <c r="G29" s="17" t="s">
        <v>483</v>
      </c>
      <c r="H29" s="17" t="s">
        <v>475</v>
      </c>
      <c r="I29" s="17" t="s">
        <v>476</v>
      </c>
      <c r="J29" s="1"/>
    </row>
    <row r="30" spans="1:10" ht="38" customHeight="1">
      <c r="A30" s="18" t="s">
        <v>484</v>
      </c>
      <c r="B30" s="18" t="s">
        <v>169</v>
      </c>
      <c r="C30" s="18" t="s">
        <v>478</v>
      </c>
      <c r="D30" s="18" t="s">
        <v>265</v>
      </c>
      <c r="E30" s="18" t="s">
        <v>485</v>
      </c>
      <c r="F30" s="18" t="s">
        <v>480</v>
      </c>
      <c r="G30" s="18" t="s">
        <v>486</v>
      </c>
      <c r="H30" s="18" t="s">
        <v>475</v>
      </c>
      <c r="I30" s="18" t="s">
        <v>476</v>
      </c>
      <c r="J30" s="1"/>
    </row>
    <row r="31" spans="1:10" ht="38" customHeight="1">
      <c r="A31" s="17" t="s">
        <v>487</v>
      </c>
      <c r="B31" s="17" t="s">
        <v>169</v>
      </c>
      <c r="C31" s="17" t="s">
        <v>478</v>
      </c>
      <c r="D31" s="17" t="s">
        <v>267</v>
      </c>
      <c r="E31" s="17" t="s">
        <v>488</v>
      </c>
      <c r="F31" s="17" t="s">
        <v>480</v>
      </c>
      <c r="G31" s="17" t="s">
        <v>489</v>
      </c>
      <c r="H31" s="17" t="s">
        <v>475</v>
      </c>
      <c r="I31" s="17" t="s">
        <v>476</v>
      </c>
      <c r="J31" s="1"/>
    </row>
    <row r="32" spans="1:10" ht="38" customHeight="1">
      <c r="A32" s="18" t="s">
        <v>490</v>
      </c>
      <c r="B32" s="18" t="s">
        <v>169</v>
      </c>
      <c r="C32" s="18" t="s">
        <v>478</v>
      </c>
      <c r="D32" s="18" t="s">
        <v>269</v>
      </c>
      <c r="E32" s="18" t="s">
        <v>491</v>
      </c>
      <c r="F32" s="18" t="s">
        <v>480</v>
      </c>
      <c r="G32" s="18" t="s">
        <v>492</v>
      </c>
      <c r="H32" s="18" t="s">
        <v>475</v>
      </c>
      <c r="I32" s="18" t="s">
        <v>476</v>
      </c>
      <c r="J32" s="1"/>
    </row>
    <row r="33" spans="1:10" ht="38" customHeight="1">
      <c r="A33" s="17" t="s">
        <v>493</v>
      </c>
      <c r="B33" s="17" t="s">
        <v>170</v>
      </c>
      <c r="C33" s="17" t="s">
        <v>494</v>
      </c>
      <c r="D33" s="17" t="s">
        <v>258</v>
      </c>
      <c r="E33" s="17" t="s">
        <v>495</v>
      </c>
      <c r="F33" s="17" t="s">
        <v>496</v>
      </c>
      <c r="G33" s="17" t="s">
        <v>497</v>
      </c>
      <c r="H33" s="17" t="s">
        <v>475</v>
      </c>
      <c r="I33" s="17" t="s">
        <v>498</v>
      </c>
      <c r="J33" s="1"/>
    </row>
    <row r="34" spans="1:10" ht="38" customHeight="1">
      <c r="A34" s="18" t="s">
        <v>499</v>
      </c>
      <c r="B34" s="18" t="s">
        <v>170</v>
      </c>
      <c r="C34" s="18" t="s">
        <v>500</v>
      </c>
      <c r="D34" s="18" t="s">
        <v>260</v>
      </c>
      <c r="E34" s="18" t="s">
        <v>501</v>
      </c>
      <c r="F34" s="18" t="s">
        <v>502</v>
      </c>
      <c r="G34" s="18" t="s">
        <v>497</v>
      </c>
      <c r="H34" s="18" t="s">
        <v>475</v>
      </c>
      <c r="I34" s="18" t="s">
        <v>498</v>
      </c>
      <c r="J34" s="1"/>
    </row>
    <row r="35" spans="1:10" ht="38" customHeight="1">
      <c r="A35" s="17" t="s">
        <v>503</v>
      </c>
      <c r="B35" s="17" t="s">
        <v>170</v>
      </c>
      <c r="C35" s="17" t="s">
        <v>500</v>
      </c>
      <c r="D35" s="17" t="s">
        <v>262</v>
      </c>
      <c r="E35" s="17" t="s">
        <v>504</v>
      </c>
      <c r="F35" s="17" t="s">
        <v>502</v>
      </c>
      <c r="G35" s="17" t="s">
        <v>505</v>
      </c>
      <c r="H35" s="17" t="s">
        <v>475</v>
      </c>
      <c r="I35" s="17" t="s">
        <v>498</v>
      </c>
      <c r="J35" s="1"/>
    </row>
    <row r="36" spans="1:10" ht="38" customHeight="1">
      <c r="A36" s="18" t="s">
        <v>506</v>
      </c>
      <c r="B36" s="18" t="s">
        <v>170</v>
      </c>
      <c r="C36" s="18" t="s">
        <v>500</v>
      </c>
      <c r="D36" s="18" t="s">
        <v>263</v>
      </c>
      <c r="E36" s="18" t="s">
        <v>507</v>
      </c>
      <c r="F36" s="18" t="s">
        <v>502</v>
      </c>
      <c r="G36" s="18" t="s">
        <v>505</v>
      </c>
      <c r="H36" s="18" t="s">
        <v>475</v>
      </c>
      <c r="I36" s="18" t="s">
        <v>498</v>
      </c>
      <c r="J36" s="1"/>
    </row>
    <row r="37" spans="1:10" ht="38" customHeight="1">
      <c r="A37" s="17" t="s">
        <v>508</v>
      </c>
      <c r="B37" s="17" t="s">
        <v>170</v>
      </c>
      <c r="C37" s="17" t="s">
        <v>500</v>
      </c>
      <c r="D37" s="17" t="s">
        <v>265</v>
      </c>
      <c r="E37" s="17" t="s">
        <v>509</v>
      </c>
      <c r="F37" s="17" t="s">
        <v>502</v>
      </c>
      <c r="G37" s="17" t="s">
        <v>510</v>
      </c>
      <c r="H37" s="17" t="s">
        <v>475</v>
      </c>
      <c r="I37" s="17" t="s">
        <v>498</v>
      </c>
      <c r="J37" s="1"/>
    </row>
    <row r="38" spans="1:10" ht="38" customHeight="1">
      <c r="A38" s="18" t="s">
        <v>511</v>
      </c>
      <c r="B38" s="18" t="s">
        <v>170</v>
      </c>
      <c r="C38" s="18" t="s">
        <v>500</v>
      </c>
      <c r="D38" s="18" t="s">
        <v>267</v>
      </c>
      <c r="E38" s="18" t="s">
        <v>512</v>
      </c>
      <c r="F38" s="18" t="s">
        <v>502</v>
      </c>
      <c r="G38" s="18" t="s">
        <v>510</v>
      </c>
      <c r="H38" s="18" t="s">
        <v>475</v>
      </c>
      <c r="I38" s="18" t="s">
        <v>498</v>
      </c>
      <c r="J38" s="1"/>
    </row>
    <row r="39" spans="1:10" ht="38" customHeight="1">
      <c r="A39" s="17" t="s">
        <v>513</v>
      </c>
      <c r="B39" s="17" t="s">
        <v>171</v>
      </c>
      <c r="C39" s="17" t="s">
        <v>514</v>
      </c>
      <c r="D39" s="17" t="s">
        <v>260</v>
      </c>
      <c r="E39" s="17" t="s">
        <v>515</v>
      </c>
      <c r="F39" s="17" t="s">
        <v>516</v>
      </c>
      <c r="G39" s="17" t="s">
        <v>517</v>
      </c>
      <c r="H39" s="17" t="s">
        <v>475</v>
      </c>
      <c r="I39" s="17" t="s">
        <v>518</v>
      </c>
      <c r="J39" s="1"/>
    </row>
    <row r="40" spans="1:10" ht="38" customHeight="1">
      <c r="A40" s="18" t="s">
        <v>519</v>
      </c>
      <c r="B40" s="18" t="s">
        <v>171</v>
      </c>
      <c r="C40" s="18" t="s">
        <v>520</v>
      </c>
      <c r="D40" s="18" t="s">
        <v>262</v>
      </c>
      <c r="E40" s="18" t="s">
        <v>521</v>
      </c>
      <c r="F40" s="18" t="s">
        <v>522</v>
      </c>
      <c r="G40" s="18" t="s">
        <v>517</v>
      </c>
      <c r="H40" s="18" t="s">
        <v>475</v>
      </c>
      <c r="I40" s="18" t="s">
        <v>518</v>
      </c>
      <c r="J40" s="1"/>
    </row>
    <row r="41" spans="1:10" ht="38" customHeight="1">
      <c r="A41" s="17" t="s">
        <v>523</v>
      </c>
      <c r="B41" s="17" t="s">
        <v>171</v>
      </c>
      <c r="C41" s="17" t="s">
        <v>520</v>
      </c>
      <c r="D41" s="17" t="s">
        <v>263</v>
      </c>
      <c r="E41" s="17" t="s">
        <v>524</v>
      </c>
      <c r="F41" s="17" t="s">
        <v>522</v>
      </c>
      <c r="G41" s="17" t="s">
        <v>525</v>
      </c>
      <c r="H41" s="17" t="s">
        <v>475</v>
      </c>
      <c r="I41" s="17" t="s">
        <v>518</v>
      </c>
      <c r="J41" s="1"/>
    </row>
    <row r="42" spans="1:10" ht="38" customHeight="1">
      <c r="A42" s="18" t="s">
        <v>526</v>
      </c>
      <c r="B42" s="18" t="s">
        <v>171</v>
      </c>
      <c r="C42" s="18" t="s">
        <v>520</v>
      </c>
      <c r="D42" s="18" t="s">
        <v>265</v>
      </c>
      <c r="E42" s="18" t="s">
        <v>527</v>
      </c>
      <c r="F42" s="18" t="s">
        <v>522</v>
      </c>
      <c r="G42" s="18" t="s">
        <v>525</v>
      </c>
      <c r="H42" s="18" t="s">
        <v>475</v>
      </c>
      <c r="I42" s="18" t="s">
        <v>518</v>
      </c>
      <c r="J42" s="1"/>
    </row>
    <row r="43" spans="1:10" ht="38" customHeight="1">
      <c r="A43" s="17" t="s">
        <v>528</v>
      </c>
      <c r="B43" s="17" t="s">
        <v>171</v>
      </c>
      <c r="C43" s="17" t="s">
        <v>520</v>
      </c>
      <c r="D43" s="17" t="s">
        <v>267</v>
      </c>
      <c r="E43" s="17" t="s">
        <v>529</v>
      </c>
      <c r="F43" s="17" t="s">
        <v>522</v>
      </c>
      <c r="G43" s="17" t="s">
        <v>530</v>
      </c>
      <c r="H43" s="17" t="s">
        <v>475</v>
      </c>
      <c r="I43" s="17" t="s">
        <v>518</v>
      </c>
      <c r="J43" s="1"/>
    </row>
    <row r="44" spans="1:10" ht="38" customHeight="1">
      <c r="A44" s="18" t="s">
        <v>531</v>
      </c>
      <c r="B44" s="18" t="s">
        <v>171</v>
      </c>
      <c r="C44" s="18" t="s">
        <v>520</v>
      </c>
      <c r="D44" s="18" t="s">
        <v>269</v>
      </c>
      <c r="E44" s="18" t="s">
        <v>532</v>
      </c>
      <c r="F44" s="18" t="s">
        <v>522</v>
      </c>
      <c r="G44" s="18" t="s">
        <v>530</v>
      </c>
      <c r="H44" s="18" t="s">
        <v>475</v>
      </c>
      <c r="I44" s="18" t="s">
        <v>518</v>
      </c>
      <c r="J44" s="1"/>
    </row>
    <row r="45" spans="1:10" ht="38" customHeight="1">
      <c r="A45" s="17" t="s">
        <v>533</v>
      </c>
      <c r="B45" s="17" t="s">
        <v>172</v>
      </c>
      <c r="C45" s="17" t="s">
        <v>534</v>
      </c>
      <c r="D45" s="17" t="s">
        <v>262</v>
      </c>
      <c r="E45" s="17" t="s">
        <v>535</v>
      </c>
      <c r="F45" s="17" t="s">
        <v>536</v>
      </c>
      <c r="G45" s="17" t="s">
        <v>537</v>
      </c>
      <c r="H45" s="17" t="s">
        <v>475</v>
      </c>
      <c r="I45" s="17" t="s">
        <v>538</v>
      </c>
      <c r="J45" s="1"/>
    </row>
    <row r="46" spans="1:10" ht="38" customHeight="1">
      <c r="A46" s="18" t="s">
        <v>539</v>
      </c>
      <c r="B46" s="18" t="s">
        <v>172</v>
      </c>
      <c r="C46" s="18" t="s">
        <v>540</v>
      </c>
      <c r="D46" s="18" t="s">
        <v>263</v>
      </c>
      <c r="E46" s="18" t="s">
        <v>541</v>
      </c>
      <c r="F46" s="18" t="s">
        <v>542</v>
      </c>
      <c r="G46" s="18" t="s">
        <v>537</v>
      </c>
      <c r="H46" s="18" t="s">
        <v>475</v>
      </c>
      <c r="I46" s="18" t="s">
        <v>538</v>
      </c>
      <c r="J46" s="1"/>
    </row>
    <row r="47" spans="1:10" ht="38" customHeight="1">
      <c r="A47" s="17" t="s">
        <v>543</v>
      </c>
      <c r="B47" s="17" t="s">
        <v>172</v>
      </c>
      <c r="C47" s="17" t="s">
        <v>540</v>
      </c>
      <c r="D47" s="17" t="s">
        <v>265</v>
      </c>
      <c r="E47" s="17" t="s">
        <v>544</v>
      </c>
      <c r="F47" s="17" t="s">
        <v>542</v>
      </c>
      <c r="G47" s="17" t="s">
        <v>545</v>
      </c>
      <c r="H47" s="17" t="s">
        <v>475</v>
      </c>
      <c r="I47" s="17" t="s">
        <v>538</v>
      </c>
      <c r="J47" s="1"/>
    </row>
    <row r="48" spans="1:10" ht="38" customHeight="1">
      <c r="A48" s="18" t="s">
        <v>546</v>
      </c>
      <c r="B48" s="18" t="s">
        <v>172</v>
      </c>
      <c r="C48" s="18" t="s">
        <v>540</v>
      </c>
      <c r="D48" s="18" t="s">
        <v>267</v>
      </c>
      <c r="E48" s="18" t="s">
        <v>547</v>
      </c>
      <c r="F48" s="18" t="s">
        <v>542</v>
      </c>
      <c r="G48" s="18" t="s">
        <v>548</v>
      </c>
      <c r="H48" s="18" t="s">
        <v>475</v>
      </c>
      <c r="I48" s="18" t="s">
        <v>538</v>
      </c>
      <c r="J48" s="1"/>
    </row>
    <row r="49" spans="1:10" ht="38" customHeight="1">
      <c r="A49" s="17" t="s">
        <v>549</v>
      </c>
      <c r="B49" s="17" t="s">
        <v>172</v>
      </c>
      <c r="C49" s="17" t="s">
        <v>540</v>
      </c>
      <c r="D49" s="17" t="s">
        <v>269</v>
      </c>
      <c r="E49" s="17" t="s">
        <v>550</v>
      </c>
      <c r="F49" s="17" t="s">
        <v>542</v>
      </c>
      <c r="G49" s="17" t="s">
        <v>551</v>
      </c>
      <c r="H49" s="17" t="s">
        <v>475</v>
      </c>
      <c r="I49" s="17" t="s">
        <v>538</v>
      </c>
      <c r="J49" s="1"/>
    </row>
    <row r="50" spans="1:10" ht="38" customHeight="1">
      <c r="A50" s="18" t="s">
        <v>552</v>
      </c>
      <c r="B50" s="18" t="s">
        <v>172</v>
      </c>
      <c r="C50" s="18" t="s">
        <v>553</v>
      </c>
      <c r="D50" s="18" t="s">
        <v>554</v>
      </c>
      <c r="E50" s="18" t="s">
        <v>555</v>
      </c>
      <c r="F50" s="18" t="s">
        <v>556</v>
      </c>
      <c r="G50" s="18" t="s">
        <v>557</v>
      </c>
      <c r="H50" s="18" t="s">
        <v>475</v>
      </c>
      <c r="I50" s="18" t="s">
        <v>538</v>
      </c>
      <c r="J50" s="1"/>
    </row>
    <row r="51" spans="1:10" ht="38" customHeight="1">
      <c r="A51" s="17" t="s">
        <v>558</v>
      </c>
      <c r="B51" s="17" t="s">
        <v>219</v>
      </c>
      <c r="C51" s="17" t="s">
        <v>559</v>
      </c>
      <c r="D51" s="17" t="s">
        <v>560</v>
      </c>
      <c r="E51" s="17" t="s">
        <v>561</v>
      </c>
      <c r="F51" s="17" t="s">
        <v>562</v>
      </c>
      <c r="G51" s="17" t="s">
        <v>256</v>
      </c>
      <c r="H51" s="17" t="s">
        <v>563</v>
      </c>
      <c r="I51" s="17" t="s">
        <v>564</v>
      </c>
      <c r="J51" s="1"/>
    </row>
    <row r="52" spans="1:10" ht="38" customHeight="1">
      <c r="A52" s="18" t="s">
        <v>565</v>
      </c>
      <c r="B52" s="18" t="s">
        <v>219</v>
      </c>
      <c r="C52" s="18" t="s">
        <v>566</v>
      </c>
      <c r="D52" s="18" t="s">
        <v>255</v>
      </c>
      <c r="E52" s="18" t="s">
        <v>567</v>
      </c>
      <c r="F52" s="18" t="s">
        <v>568</v>
      </c>
      <c r="G52" s="18" t="s">
        <v>256</v>
      </c>
      <c r="H52" s="18" t="s">
        <v>563</v>
      </c>
      <c r="I52" s="18" t="s">
        <v>564</v>
      </c>
      <c r="J52" s="1"/>
    </row>
    <row r="53" spans="1:10" ht="38" customHeight="1">
      <c r="A53" s="17" t="s">
        <v>569</v>
      </c>
      <c r="B53" s="17" t="s">
        <v>219</v>
      </c>
      <c r="C53" s="17" t="s">
        <v>566</v>
      </c>
      <c r="D53" s="17" t="s">
        <v>258</v>
      </c>
      <c r="E53" s="17" t="s">
        <v>570</v>
      </c>
      <c r="F53" s="17" t="s">
        <v>568</v>
      </c>
      <c r="G53" s="17" t="s">
        <v>256</v>
      </c>
      <c r="H53" s="17" t="s">
        <v>563</v>
      </c>
      <c r="I53" s="17" t="s">
        <v>564</v>
      </c>
      <c r="J53" s="1"/>
    </row>
    <row r="54" spans="1:10" ht="38" customHeight="1">
      <c r="A54" s="18" t="s">
        <v>571</v>
      </c>
      <c r="B54" s="18" t="s">
        <v>219</v>
      </c>
      <c r="C54" s="18" t="s">
        <v>566</v>
      </c>
      <c r="D54" s="18" t="s">
        <v>260</v>
      </c>
      <c r="E54" s="18" t="s">
        <v>572</v>
      </c>
      <c r="F54" s="18" t="s">
        <v>568</v>
      </c>
      <c r="G54" s="18" t="s">
        <v>256</v>
      </c>
      <c r="H54" s="18" t="s">
        <v>563</v>
      </c>
      <c r="I54" s="18" t="s">
        <v>564</v>
      </c>
      <c r="J54" s="1"/>
    </row>
    <row r="55" spans="1:10" ht="38" customHeight="1">
      <c r="A55" s="17" t="s">
        <v>573</v>
      </c>
      <c r="B55" s="17" t="s">
        <v>219</v>
      </c>
      <c r="C55" s="17" t="s">
        <v>566</v>
      </c>
      <c r="D55" s="17" t="s">
        <v>262</v>
      </c>
      <c r="E55" s="17" t="s">
        <v>574</v>
      </c>
      <c r="F55" s="17" t="s">
        <v>568</v>
      </c>
      <c r="G55" s="17" t="s">
        <v>256</v>
      </c>
      <c r="H55" s="17" t="s">
        <v>563</v>
      </c>
      <c r="I55" s="17" t="s">
        <v>564</v>
      </c>
      <c r="J55" s="1"/>
    </row>
    <row r="56" spans="1:10" ht="38" customHeight="1">
      <c r="A56" s="18" t="s">
        <v>575</v>
      </c>
      <c r="B56" s="18" t="s">
        <v>219</v>
      </c>
      <c r="C56" s="18" t="s">
        <v>566</v>
      </c>
      <c r="D56" s="18" t="s">
        <v>263</v>
      </c>
      <c r="E56" s="18" t="s">
        <v>576</v>
      </c>
      <c r="F56" s="18" t="s">
        <v>568</v>
      </c>
      <c r="G56" s="18" t="s">
        <v>256</v>
      </c>
      <c r="H56" s="18" t="s">
        <v>563</v>
      </c>
      <c r="I56" s="18" t="s">
        <v>564</v>
      </c>
      <c r="J56" s="1"/>
    </row>
    <row r="57" spans="1:10" ht="38" customHeight="1">
      <c r="A57" s="17" t="s">
        <v>577</v>
      </c>
      <c r="B57" s="17" t="s">
        <v>219</v>
      </c>
      <c r="C57" s="17" t="s">
        <v>566</v>
      </c>
      <c r="D57" s="17" t="s">
        <v>265</v>
      </c>
      <c r="E57" s="17" t="s">
        <v>578</v>
      </c>
      <c r="F57" s="17" t="s">
        <v>568</v>
      </c>
      <c r="G57" s="17" t="s">
        <v>256</v>
      </c>
      <c r="H57" s="17" t="s">
        <v>563</v>
      </c>
      <c r="I57" s="17" t="s">
        <v>564</v>
      </c>
      <c r="J57" s="1"/>
    </row>
    <row r="58" spans="1:10" ht="38" customHeight="1">
      <c r="A58" s="18" t="s">
        <v>579</v>
      </c>
      <c r="B58" s="18" t="s">
        <v>219</v>
      </c>
      <c r="C58" s="18" t="s">
        <v>566</v>
      </c>
      <c r="D58" s="18" t="s">
        <v>267</v>
      </c>
      <c r="E58" s="18" t="s">
        <v>580</v>
      </c>
      <c r="F58" s="18" t="s">
        <v>568</v>
      </c>
      <c r="G58" s="18" t="s">
        <v>256</v>
      </c>
      <c r="H58" s="18" t="s">
        <v>563</v>
      </c>
      <c r="I58" s="18" t="s">
        <v>564</v>
      </c>
      <c r="J58" s="1"/>
    </row>
    <row r="59" spans="1:10" ht="38" customHeight="1">
      <c r="A59" s="17" t="s">
        <v>581</v>
      </c>
      <c r="B59" s="17" t="s">
        <v>219</v>
      </c>
      <c r="C59" s="17" t="s">
        <v>566</v>
      </c>
      <c r="D59" s="17" t="s">
        <v>269</v>
      </c>
      <c r="E59" s="17" t="s">
        <v>582</v>
      </c>
      <c r="F59" s="17" t="s">
        <v>568</v>
      </c>
      <c r="G59" s="17" t="s">
        <v>256</v>
      </c>
      <c r="H59" s="17" t="s">
        <v>563</v>
      </c>
      <c r="I59" s="17" t="s">
        <v>564</v>
      </c>
      <c r="J59" s="1"/>
    </row>
    <row r="60" spans="1:10" ht="38" customHeight="1">
      <c r="A60" s="18" t="s">
        <v>583</v>
      </c>
      <c r="B60" s="18" t="s">
        <v>219</v>
      </c>
      <c r="C60" s="18" t="s">
        <v>584</v>
      </c>
      <c r="D60" s="18" t="s">
        <v>255</v>
      </c>
      <c r="E60" s="18" t="s">
        <v>567</v>
      </c>
      <c r="F60" s="18" t="s">
        <v>585</v>
      </c>
      <c r="G60" s="18" t="s">
        <v>586</v>
      </c>
      <c r="H60" s="18" t="s">
        <v>563</v>
      </c>
      <c r="I60" s="18" t="s">
        <v>587</v>
      </c>
      <c r="J60" s="1"/>
    </row>
    <row r="61" spans="1:10" ht="38" customHeight="1">
      <c r="A61" s="17" t="s">
        <v>588</v>
      </c>
      <c r="B61" s="17" t="s">
        <v>219</v>
      </c>
      <c r="C61" s="17" t="s">
        <v>584</v>
      </c>
      <c r="D61" s="17" t="s">
        <v>258</v>
      </c>
      <c r="E61" s="17" t="s">
        <v>570</v>
      </c>
      <c r="F61" s="17" t="s">
        <v>585</v>
      </c>
      <c r="G61" s="17" t="s">
        <v>586</v>
      </c>
      <c r="H61" s="17" t="s">
        <v>563</v>
      </c>
      <c r="I61" s="17" t="s">
        <v>587</v>
      </c>
      <c r="J61" s="1"/>
    </row>
    <row r="62" spans="1:10" ht="38" customHeight="1">
      <c r="A62" s="18" t="s">
        <v>589</v>
      </c>
      <c r="B62" s="18" t="s">
        <v>219</v>
      </c>
      <c r="C62" s="18" t="s">
        <v>584</v>
      </c>
      <c r="D62" s="18" t="s">
        <v>260</v>
      </c>
      <c r="E62" s="18" t="s">
        <v>572</v>
      </c>
      <c r="F62" s="18" t="s">
        <v>590</v>
      </c>
      <c r="G62" s="18" t="s">
        <v>591</v>
      </c>
      <c r="H62" s="18" t="s">
        <v>563</v>
      </c>
      <c r="I62" s="18" t="s">
        <v>587</v>
      </c>
      <c r="J62" s="1"/>
    </row>
    <row r="63" spans="1:10" ht="38" customHeight="1">
      <c r="A63" s="17" t="s">
        <v>592</v>
      </c>
      <c r="B63" s="17" t="s">
        <v>219</v>
      </c>
      <c r="C63" s="17" t="s">
        <v>584</v>
      </c>
      <c r="D63" s="17" t="s">
        <v>262</v>
      </c>
      <c r="E63" s="17" t="s">
        <v>574</v>
      </c>
      <c r="F63" s="17" t="s">
        <v>590</v>
      </c>
      <c r="G63" s="17" t="s">
        <v>591</v>
      </c>
      <c r="H63" s="17" t="s">
        <v>563</v>
      </c>
      <c r="I63" s="17" t="s">
        <v>587</v>
      </c>
      <c r="J63" s="1"/>
    </row>
    <row r="64" spans="1:10" ht="38" customHeight="1">
      <c r="A64" s="18" t="s">
        <v>593</v>
      </c>
      <c r="B64" s="18" t="s">
        <v>219</v>
      </c>
      <c r="C64" s="18" t="s">
        <v>584</v>
      </c>
      <c r="D64" s="18" t="s">
        <v>263</v>
      </c>
      <c r="E64" s="18" t="s">
        <v>576</v>
      </c>
      <c r="F64" s="18" t="s">
        <v>594</v>
      </c>
      <c r="G64" s="18" t="s">
        <v>406</v>
      </c>
      <c r="H64" s="18" t="s">
        <v>563</v>
      </c>
      <c r="I64" s="18" t="s">
        <v>587</v>
      </c>
      <c r="J64" s="1"/>
    </row>
    <row r="65" spans="1:10" ht="38" customHeight="1">
      <c r="A65" s="17" t="s">
        <v>595</v>
      </c>
      <c r="B65" s="17" t="s">
        <v>219</v>
      </c>
      <c r="C65" s="17" t="s">
        <v>584</v>
      </c>
      <c r="D65" s="17" t="s">
        <v>265</v>
      </c>
      <c r="E65" s="17" t="s">
        <v>578</v>
      </c>
      <c r="F65" s="17" t="s">
        <v>596</v>
      </c>
      <c r="G65" s="17" t="s">
        <v>597</v>
      </c>
      <c r="H65" s="17" t="s">
        <v>563</v>
      </c>
      <c r="I65" s="17" t="s">
        <v>587</v>
      </c>
      <c r="J65" s="1"/>
    </row>
    <row r="66" spans="1:10" ht="38" customHeight="1">
      <c r="A66" s="18" t="s">
        <v>598</v>
      </c>
      <c r="B66" s="18" t="s">
        <v>219</v>
      </c>
      <c r="C66" s="18" t="s">
        <v>584</v>
      </c>
      <c r="D66" s="18" t="s">
        <v>267</v>
      </c>
      <c r="E66" s="18" t="s">
        <v>580</v>
      </c>
      <c r="F66" s="18" t="s">
        <v>596</v>
      </c>
      <c r="G66" s="18" t="s">
        <v>597</v>
      </c>
      <c r="H66" s="18" t="s">
        <v>563</v>
      </c>
      <c r="I66" s="18" t="s">
        <v>587</v>
      </c>
      <c r="J66" s="1"/>
    </row>
    <row r="67" spans="1:10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>
      <c r="A70" s="1"/>
      <c r="B70" s="1"/>
      <c r="C70" s="1"/>
      <c r="D70" s="1"/>
      <c r="E70" s="1"/>
      <c r="F70" s="1"/>
      <c r="G70" s="1"/>
      <c r="H70" s="1"/>
      <c r="I70" s="1"/>
      <c r="J70" s="1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667085"/>
  </sheetPr>
  <dimension ref="A1:E33"/>
  <sheetViews>
    <sheetView showGridLines="0" workbookViewId="0">
      <pane ySplit="6" topLeftCell="A7" activePane="bottomLeft" state="frozen"/>
      <selection pane="bottomLeft" activeCell="A29" sqref="A29:XFD29"/>
    </sheetView>
  </sheetViews>
  <sheetFormatPr defaultRowHeight="14"/>
  <cols>
    <col min="1" max="1" width="30" customWidth="1"/>
    <col min="2" max="2" width="58" customWidth="1"/>
    <col min="3" max="3" width="15" customWidth="1"/>
    <col min="4" max="4" width="66" customWidth="1"/>
    <col min="5" max="5" width="18" customWidth="1"/>
  </cols>
  <sheetData>
    <row r="1" spans="1:5">
      <c r="A1" s="1"/>
      <c r="B1" s="1"/>
      <c r="C1" s="1"/>
      <c r="D1" s="1"/>
      <c r="E1" s="1"/>
    </row>
    <row r="2" spans="1:5" ht="25" customHeight="1">
      <c r="A2" s="8" t="s">
        <v>599</v>
      </c>
      <c r="B2" s="9"/>
      <c r="C2" s="9"/>
      <c r="D2" s="9"/>
      <c r="E2" s="11" t="str">
        <f>HYPERLINK("#'Home'!A1","← Back to Home")</f>
        <v>← Back to Home</v>
      </c>
    </row>
    <row r="3" spans="1:5" ht="20" customHeight="1">
      <c r="A3" s="10" t="s">
        <v>600</v>
      </c>
      <c r="B3" s="1"/>
      <c r="C3" s="1"/>
      <c r="D3" s="1"/>
      <c r="E3" s="1"/>
    </row>
    <row r="4" spans="1:5">
      <c r="A4" s="12" t="str">
        <f>HYPERLINK("#'A8 - Sources'!A1","Source register ↗")</f>
        <v>Source register ↗</v>
      </c>
      <c r="B4" s="1"/>
      <c r="C4" s="1"/>
      <c r="D4" s="1"/>
      <c r="E4" s="1"/>
    </row>
    <row r="5" spans="1:5">
      <c r="A5" s="1"/>
      <c r="B5" s="1"/>
      <c r="C5" s="1"/>
      <c r="D5" s="1"/>
      <c r="E5" s="1"/>
    </row>
    <row r="6" spans="1:5" ht="34" customHeight="1">
      <c r="A6" s="13" t="s">
        <v>601</v>
      </c>
      <c r="B6" s="14" t="s">
        <v>602</v>
      </c>
      <c r="C6" s="14" t="s">
        <v>603</v>
      </c>
      <c r="D6" s="15" t="s">
        <v>115</v>
      </c>
      <c r="E6" s="1"/>
    </row>
    <row r="7" spans="1:5" ht="30" customHeight="1">
      <c r="A7" s="16" t="s">
        <v>604</v>
      </c>
      <c r="B7" s="16" t="s">
        <v>605</v>
      </c>
      <c r="C7" s="59" t="str">
        <f>IF(AND(ABS('A7 - Opportunity Bridge'!E11-22.8723750076781)&lt;0.0000001,ABS('A7 - Opportunity Bridge'!E15-11.436187503839)&lt;0.0000001),"PASS","FAIL")</f>
        <v>PASS</v>
      </c>
      <c r="D7" s="16" t="s">
        <v>606</v>
      </c>
      <c r="E7" s="1"/>
    </row>
    <row r="8" spans="1:5" ht="30" customHeight="1">
      <c r="A8" s="17" t="s">
        <v>607</v>
      </c>
      <c r="B8" s="17" t="s">
        <v>608</v>
      </c>
      <c r="C8" s="60" t="str">
        <f>IF(AND(ABS('A5 - NTT Historical Data'!B8-79.8971681765725)&lt;0.0000001,ABS('A5 - NTT Historical Data'!B12-98.2393144917087)&lt;0.0000001),"PASS","FAIL")</f>
        <v>PASS</v>
      </c>
      <c r="D8" s="17" t="s">
        <v>609</v>
      </c>
      <c r="E8" s="1"/>
    </row>
    <row r="9" spans="1:5" ht="30" customHeight="1">
      <c r="A9" s="17" t="s">
        <v>610</v>
      </c>
      <c r="B9" s="17" t="s">
        <v>611</v>
      </c>
      <c r="C9" s="60" t="s">
        <v>612</v>
      </c>
      <c r="D9" s="17" t="s">
        <v>613</v>
      </c>
      <c r="E9" s="1"/>
    </row>
    <row r="10" spans="1:5" ht="30" customHeight="1">
      <c r="A10" s="17" t="s">
        <v>614</v>
      </c>
      <c r="B10" s="17" t="s">
        <v>615</v>
      </c>
      <c r="C10" s="60" t="s">
        <v>612</v>
      </c>
      <c r="D10" s="17" t="s">
        <v>616</v>
      </c>
      <c r="E10" s="1"/>
    </row>
    <row r="11" spans="1:5" ht="30" customHeight="1">
      <c r="A11" s="17" t="s">
        <v>617</v>
      </c>
      <c r="B11" s="17" t="s">
        <v>618</v>
      </c>
      <c r="C11" s="60" t="str">
        <f>IF(AND(COUNTIF('A3 - Peer Comparability'!F7:F17,"Multi-peer benchmark")=7,COUNTIF('A3 - Peer Comparability'!F7:F17,"Single-peer reference")=4),"PASS","FAIL")</f>
        <v>PASS</v>
      </c>
      <c r="D11" s="17" t="s">
        <v>619</v>
      </c>
      <c r="E11" s="1"/>
    </row>
    <row r="12" spans="1:5" ht="30" customHeight="1">
      <c r="A12" s="17" t="s">
        <v>620</v>
      </c>
      <c r="B12" s="17" t="s">
        <v>621</v>
      </c>
      <c r="C12" s="60" t="str">
        <f>IF(AND(ABS('A6 - Peer Benchmark Detail'!B41-80.1055687535538)&lt;0.0000001,ABS('A6 - Peer Benchmark Detail'!C41-57.2331937458758)&lt;0.0000001),"PASS","FAIL")</f>
        <v>PASS</v>
      </c>
      <c r="D12" s="17" t="s">
        <v>622</v>
      </c>
      <c r="E12" s="1"/>
    </row>
    <row r="13" spans="1:5" ht="30" customHeight="1">
      <c r="A13" s="17" t="s">
        <v>623</v>
      </c>
      <c r="B13" s="17" t="s">
        <v>624</v>
      </c>
      <c r="C13" s="60" t="str">
        <f>IF(ABS('A7 - Opportunity Bridge'!E11-22.8723750076781)&lt;0.0000001,"PASS","FAIL")</f>
        <v>PASS</v>
      </c>
      <c r="D13" s="17" t="s">
        <v>625</v>
      </c>
      <c r="E13" s="1"/>
    </row>
    <row r="14" spans="1:5" ht="30" customHeight="1">
      <c r="A14" s="17" t="s">
        <v>626</v>
      </c>
      <c r="B14" s="17" t="s">
        <v>627</v>
      </c>
      <c r="C14" s="60" t="str">
        <f>IF(AND(ABS('A7 - Opportunity Bridge'!C34-11.436187503839)&lt;0.0000001,ABS('A7 - Opportunity Bridge'!D36-57.2331937458758)&lt;0.0000001),"PASS","FAIL")</f>
        <v>PASS</v>
      </c>
      <c r="D14" s="17" t="s">
        <v>628</v>
      </c>
      <c r="E14" s="1"/>
    </row>
    <row r="15" spans="1:5" ht="30" customHeight="1">
      <c r="A15" s="17" t="s">
        <v>629</v>
      </c>
      <c r="B15" s="17" t="s">
        <v>630</v>
      </c>
      <c r="C15" s="60" t="str">
        <f>IF(ABS('A7 - Opportunity Bridge'!E34-152.746733424563)&lt;0.0000001,"PASS","FAIL")</f>
        <v>PASS</v>
      </c>
      <c r="D15" s="17" t="s">
        <v>631</v>
      </c>
      <c r="E15" s="1"/>
    </row>
    <row r="16" spans="1:5" ht="30" customHeight="1">
      <c r="A16" s="17" t="s">
        <v>632</v>
      </c>
      <c r="B16" s="17" t="s">
        <v>633</v>
      </c>
      <c r="C16" s="60" t="str">
        <f>IF(ABS('A7 - Opportunity Bridge'!K13-0.0384225000471264)&lt;0.0000001,"PASS","FAIL")</f>
        <v>PASS</v>
      </c>
      <c r="D16" s="17" t="s">
        <v>634</v>
      </c>
      <c r="E16" s="1"/>
    </row>
    <row r="17" spans="1:5" ht="30" customHeight="1">
      <c r="A17" s="17" t="s">
        <v>635</v>
      </c>
      <c r="B17" s="17" t="s">
        <v>636</v>
      </c>
      <c r="C17" s="60" t="str">
        <f>IF(ABS('A7 - Opportunity Bridge'!F34-5.8689113722037)&lt;0.0000001,"PASS","FAIL")</f>
        <v>PASS</v>
      </c>
      <c r="D17" s="17" t="s">
        <v>637</v>
      </c>
      <c r="E17" s="1"/>
    </row>
    <row r="18" spans="1:5" ht="30" customHeight="1">
      <c r="A18" s="17" t="s">
        <v>638</v>
      </c>
      <c r="B18" s="17" t="s">
        <v>639</v>
      </c>
      <c r="C18" s="60" t="str">
        <f>IF(ISNUMBER(SEARCH("Structural Break",'A5 - NTT Historical Data'!L11)),"PASS","FAIL")</f>
        <v>PASS</v>
      </c>
      <c r="D18" s="17" t="s">
        <v>640</v>
      </c>
      <c r="E18" s="1"/>
    </row>
    <row r="19" spans="1:5" ht="30" customHeight="1">
      <c r="A19" s="17" t="s">
        <v>641</v>
      </c>
      <c r="B19" s="17" t="s">
        <v>642</v>
      </c>
      <c r="C19" s="60" t="str">
        <f>IF(COUNTIF('A5 - NTT Historical Data'!B7:J14,"N/A")&gt;0,"PASS","FAIL")</f>
        <v>PASS</v>
      </c>
      <c r="D19" s="17" t="s">
        <v>643</v>
      </c>
      <c r="E19" s="1"/>
    </row>
    <row r="20" spans="1:5" ht="30" customHeight="1">
      <c r="A20" s="17" t="s">
        <v>644</v>
      </c>
      <c r="B20" s="17" t="s">
        <v>645</v>
      </c>
      <c r="C20" s="60" t="s">
        <v>612</v>
      </c>
      <c r="D20" s="17" t="s">
        <v>646</v>
      </c>
      <c r="E20" s="1"/>
    </row>
    <row r="21" spans="1:5" ht="30" customHeight="1">
      <c r="A21" s="17" t="s">
        <v>647</v>
      </c>
      <c r="B21" s="17" t="s">
        <v>648</v>
      </c>
      <c r="C21" s="60" t="s">
        <v>612</v>
      </c>
      <c r="D21" s="17" t="s">
        <v>649</v>
      </c>
      <c r="E21" s="1"/>
    </row>
    <row r="22" spans="1:5" ht="30" customHeight="1">
      <c r="A22" s="17" t="s">
        <v>650</v>
      </c>
      <c r="B22" s="17" t="s">
        <v>651</v>
      </c>
      <c r="C22" s="60" t="s">
        <v>612</v>
      </c>
      <c r="D22" s="17" t="s">
        <v>652</v>
      </c>
      <c r="E22" s="1"/>
    </row>
    <row r="23" spans="1:5" ht="30" customHeight="1">
      <c r="A23" s="17" t="s">
        <v>653</v>
      </c>
      <c r="B23" s="17" t="s">
        <v>654</v>
      </c>
      <c r="C23" s="60" t="str">
        <f>IF(ISNUMBER(SEARCH("Reference Only",'A7 - Opportunity Bridge'!A36)),"PASS","FAIL")</f>
        <v>PASS</v>
      </c>
      <c r="D23" s="17" t="s">
        <v>655</v>
      </c>
      <c r="E23" s="1"/>
    </row>
    <row r="24" spans="1:5" ht="30" customHeight="1">
      <c r="A24" s="17" t="s">
        <v>656</v>
      </c>
      <c r="B24" s="17" t="s">
        <v>657</v>
      </c>
      <c r="C24" s="60" t="str">
        <f>IF(COUNTIF('A8 - Sources'!A7:A200,"&lt;&gt;")&gt;=40,"PASS","FAIL")</f>
        <v>PASS</v>
      </c>
      <c r="D24" s="17" t="s">
        <v>658</v>
      </c>
      <c r="E24" s="1"/>
    </row>
    <row r="25" spans="1:5" ht="30" customHeight="1">
      <c r="A25" s="17" t="s">
        <v>659</v>
      </c>
      <c r="B25" s="17" t="s">
        <v>660</v>
      </c>
      <c r="C25" s="60" t="s">
        <v>612</v>
      </c>
      <c r="D25" s="17" t="s">
        <v>661</v>
      </c>
      <c r="E25" s="1"/>
    </row>
    <row r="26" spans="1:5" ht="30" customHeight="1">
      <c r="A26" s="17" t="s">
        <v>662</v>
      </c>
      <c r="B26" s="17" t="s">
        <v>663</v>
      </c>
      <c r="C26" s="60" t="s">
        <v>612</v>
      </c>
      <c r="D26" s="17" t="s">
        <v>664</v>
      </c>
      <c r="E26" s="1"/>
    </row>
    <row r="27" spans="1:5">
      <c r="A27" s="1"/>
      <c r="B27" s="1"/>
      <c r="C27" s="1"/>
      <c r="D27" s="1"/>
      <c r="E27" s="1"/>
    </row>
    <row r="28" spans="1:5">
      <c r="A28" s="1"/>
      <c r="B28" s="1"/>
      <c r="C28" s="1"/>
      <c r="D28" s="1"/>
      <c r="E28" s="1"/>
    </row>
    <row r="29" spans="1:5">
      <c r="A29" s="1"/>
      <c r="B29" s="1"/>
      <c r="C29" s="1"/>
      <c r="D29" s="1"/>
      <c r="E29" s="1"/>
    </row>
    <row r="30" spans="1:5">
      <c r="A30" s="118" t="s">
        <v>665</v>
      </c>
      <c r="B30" s="119"/>
      <c r="C30" s="119"/>
      <c r="D30" s="119"/>
      <c r="E30" s="120"/>
    </row>
    <row r="31" spans="1:5">
      <c r="A31" s="121"/>
      <c r="B31" s="122"/>
      <c r="C31" s="122"/>
      <c r="D31" s="122"/>
      <c r="E31" s="123"/>
    </row>
    <row r="32" spans="1:5">
      <c r="A32" s="124"/>
      <c r="B32" s="125"/>
      <c r="C32" s="125"/>
      <c r="D32" s="125"/>
      <c r="E32" s="126"/>
    </row>
    <row r="33" spans="1:5">
      <c r="A33" s="1"/>
      <c r="B33" s="1"/>
      <c r="C33" s="1"/>
      <c r="D33" s="1"/>
      <c r="E33" s="1"/>
    </row>
  </sheetData>
  <mergeCells count="1">
    <mergeCell ref="A30:E32"/>
  </mergeCells>
  <conditionalFormatting sqref="C7:C26">
    <cfRule type="containsText" dxfId="1" priority="1" operator="containsText" text="PASS"/>
    <cfRule type="containsText" dxfId="0" priority="2" operator="containsText" text="FAIL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A1 - Formula Library</vt:lpstr>
      <vt:lpstr>A2 - Excel Implementation</vt:lpstr>
      <vt:lpstr>A3 - Peer Comparability</vt:lpstr>
      <vt:lpstr>A4 - Normalization Rules</vt:lpstr>
      <vt:lpstr>A5 - NTT Historical Data</vt:lpstr>
      <vt:lpstr>A6 - Peer Benchmark Detail</vt:lpstr>
      <vt:lpstr>A7 - Opportunity Bridge</vt:lpstr>
      <vt:lpstr>A8 - Sources</vt:lpstr>
      <vt:lpstr>A9 - 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 Ngo</cp:lastModifiedBy>
  <dcterms:created xsi:type="dcterms:W3CDTF">2026-09-19T15:54:22Z</dcterms:created>
  <dcterms:modified xsi:type="dcterms:W3CDTF">2026-09-19T15:54:22Z</dcterms:modified>
</cp:coreProperties>
</file>