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ln07\Downloads\"/>
    </mc:Choice>
  </mc:AlternateContent>
  <xr:revisionPtr revIDLastSave="0" documentId="13_ncr:1_{48EB619A-303E-4BC3-80CE-5397AD0A424B}" xr6:coauthVersionLast="47" xr6:coauthVersionMax="47" xr10:uidLastSave="{00000000-0000-0000-0000-000000000000}"/>
  <bookViews>
    <workbookView xWindow="-110" yWindow="-110" windowWidth="23260" windowHeight="14860" firstSheet="8" activeTab="10" xr2:uid="{00000000-000D-0000-FFFF-FFFF00000000}"/>
  </bookViews>
  <sheets>
    <sheet name="README" sheetId="1" r:id="rId1"/>
    <sheet name="Peer Reporting Profile" sheetId="2" r:id="rId2"/>
    <sheet name="Accenture Raw Data" sheetId="3" r:id="rId3"/>
    <sheet name="Capgemini Raw Data" sheetId="4" r:id="rId4"/>
    <sheet name="CGI Raw Data" sheetId="5" r:id="rId5"/>
    <sheet name="TCS Raw Data" sheetId="6" r:id="rId6"/>
    <sheet name="Adjustments &amp; Mapping" sheetId="7" r:id="rId7"/>
    <sheet name="Structural &amp; Data Quality Flags" sheetId="8" r:id="rId8"/>
    <sheet name="Sources" sheetId="9" r:id="rId9"/>
    <sheet name="Completeness Matrix" sheetId="10" r:id="rId10"/>
    <sheet name="Consolidated Peer Raw Data" sheetId="11" r:id="rId11"/>
    <sheet name="Review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2" l="1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R28" i="11"/>
  <c r="F28" i="11"/>
  <c r="R27" i="11"/>
  <c r="Q27" i="11"/>
  <c r="G27" i="11"/>
  <c r="F27" i="11"/>
  <c r="R26" i="11"/>
  <c r="G26" i="11"/>
  <c r="F26" i="11"/>
  <c r="M25" i="11"/>
  <c r="I25" i="11"/>
  <c r="H25" i="11"/>
  <c r="J24" i="11"/>
  <c r="I24" i="11"/>
  <c r="H24" i="11"/>
  <c r="P22" i="11"/>
  <c r="O22" i="11"/>
  <c r="O21" i="11"/>
  <c r="N21" i="11"/>
  <c r="O20" i="11"/>
  <c r="N20" i="11"/>
  <c r="M20" i="11"/>
  <c r="N19" i="11"/>
  <c r="M19" i="11"/>
  <c r="L19" i="11"/>
  <c r="M18" i="11"/>
  <c r="L18" i="11"/>
  <c r="I18" i="11"/>
  <c r="F18" i="11"/>
  <c r="N16" i="11"/>
  <c r="M16" i="11"/>
  <c r="L16" i="11"/>
  <c r="N15" i="11"/>
  <c r="M15" i="11"/>
  <c r="L15" i="11"/>
  <c r="N14" i="11"/>
  <c r="M14" i="11"/>
  <c r="L14" i="11"/>
  <c r="N13" i="11"/>
  <c r="M13" i="11"/>
  <c r="L13" i="11"/>
  <c r="N12" i="11"/>
  <c r="M12" i="11"/>
  <c r="L12" i="11"/>
  <c r="I11" i="11"/>
  <c r="H11" i="11"/>
  <c r="R10" i="11"/>
  <c r="P10" i="11"/>
  <c r="L10" i="11"/>
  <c r="H10" i="11"/>
  <c r="G10" i="11"/>
  <c r="F10" i="11"/>
  <c r="I9" i="11"/>
  <c r="G9" i="11"/>
  <c r="F9" i="11"/>
  <c r="R8" i="11"/>
  <c r="K8" i="11"/>
  <c r="H8" i="11"/>
  <c r="L7" i="11"/>
  <c r="I7" i="11"/>
  <c r="H7" i="11"/>
  <c r="F7" i="11"/>
  <c r="L6" i="11"/>
  <c r="K6" i="11"/>
  <c r="I6" i="11"/>
  <c r="G6" i="11"/>
  <c r="I84" i="6"/>
  <c r="N28" i="11" s="1"/>
  <c r="I83" i="6"/>
  <c r="Q28" i="11" s="1"/>
  <c r="I82" i="6"/>
  <c r="M28" i="11" s="1"/>
  <c r="I81" i="6"/>
  <c r="I78" i="6"/>
  <c r="G28" i="11" s="1"/>
  <c r="I77" i="6"/>
  <c r="I76" i="6"/>
  <c r="I75" i="6"/>
  <c r="H28" i="11" s="1"/>
  <c r="I74" i="6"/>
  <c r="L28" i="11" s="1"/>
  <c r="I73" i="6"/>
  <c r="K28" i="11" s="1"/>
  <c r="I72" i="6"/>
  <c r="J28" i="11" s="1"/>
  <c r="I71" i="6"/>
  <c r="I28" i="11" s="1"/>
  <c r="I68" i="6"/>
  <c r="I67" i="6"/>
  <c r="M27" i="11" s="1"/>
  <c r="I66" i="6"/>
  <c r="I65" i="6"/>
  <c r="N27" i="11" s="1"/>
  <c r="I64" i="6"/>
  <c r="I63" i="6"/>
  <c r="I62" i="6"/>
  <c r="I61" i="6"/>
  <c r="H27" i="11" s="1"/>
  <c r="I60" i="6"/>
  <c r="L27" i="11" s="1"/>
  <c r="I59" i="6"/>
  <c r="K27" i="11" s="1"/>
  <c r="I58" i="6"/>
  <c r="J27" i="11" s="1"/>
  <c r="I57" i="6"/>
  <c r="I27" i="11" s="1"/>
  <c r="I54" i="6"/>
  <c r="Q26" i="11" s="1"/>
  <c r="I53" i="6"/>
  <c r="M26" i="11" s="1"/>
  <c r="I52" i="6"/>
  <c r="I51" i="6"/>
  <c r="N26" i="11" s="1"/>
  <c r="I50" i="6"/>
  <c r="I49" i="6"/>
  <c r="I48" i="6"/>
  <c r="I47" i="6"/>
  <c r="H26" i="11" s="1"/>
  <c r="I46" i="6"/>
  <c r="L26" i="11" s="1"/>
  <c r="I45" i="6"/>
  <c r="K26" i="11" s="1"/>
  <c r="I44" i="6"/>
  <c r="J26" i="11" s="1"/>
  <c r="I43" i="6"/>
  <c r="I26" i="11" s="1"/>
  <c r="I40" i="6"/>
  <c r="Q25" i="11" s="1"/>
  <c r="I39" i="6"/>
  <c r="I38" i="6"/>
  <c r="R25" i="11" s="1"/>
  <c r="I37" i="6"/>
  <c r="N25" i="11" s="1"/>
  <c r="I36" i="6"/>
  <c r="G25" i="11" s="1"/>
  <c r="I35" i="6"/>
  <c r="F25" i="11" s="1"/>
  <c r="I34" i="6"/>
  <c r="I33" i="6"/>
  <c r="I32" i="6"/>
  <c r="L25" i="11" s="1"/>
  <c r="I31" i="6"/>
  <c r="K25" i="11" s="1"/>
  <c r="I30" i="6"/>
  <c r="J25" i="11" s="1"/>
  <c r="I29" i="6"/>
  <c r="I26" i="6"/>
  <c r="Q24" i="11" s="1"/>
  <c r="I25" i="6"/>
  <c r="M24" i="11" s="1"/>
  <c r="I24" i="6"/>
  <c r="R24" i="11" s="1"/>
  <c r="I23" i="6"/>
  <c r="N24" i="11" s="1"/>
  <c r="I22" i="6"/>
  <c r="G24" i="11" s="1"/>
  <c r="I21" i="6"/>
  <c r="F24" i="11" s="1"/>
  <c r="I20" i="6"/>
  <c r="I19" i="6"/>
  <c r="I18" i="6"/>
  <c r="L24" i="11" s="1"/>
  <c r="I17" i="6"/>
  <c r="K24" i="11" s="1"/>
  <c r="I16" i="6"/>
  <c r="I15" i="6"/>
  <c r="I12" i="6"/>
  <c r="I11" i="6"/>
  <c r="H23" i="11" s="1"/>
  <c r="I10" i="6"/>
  <c r="L23" i="11" s="1"/>
  <c r="I9" i="6"/>
  <c r="K23" i="11" s="1"/>
  <c r="I8" i="6"/>
  <c r="J23" i="11" s="1"/>
  <c r="I7" i="6"/>
  <c r="I23" i="11" s="1"/>
  <c r="I109" i="5"/>
  <c r="I108" i="5"/>
  <c r="I107" i="5"/>
  <c r="N22" i="11" s="1"/>
  <c r="I98" i="5"/>
  <c r="M22" i="11" s="1"/>
  <c r="I97" i="5"/>
  <c r="R22" i="11" s="1"/>
  <c r="I95" i="5"/>
  <c r="F22" i="11" s="1"/>
  <c r="I93" i="5"/>
  <c r="L22" i="11" s="1"/>
  <c r="I92" i="5"/>
  <c r="I22" i="11" s="1"/>
  <c r="I90" i="5"/>
  <c r="H22" i="11" s="1"/>
  <c r="I89" i="5"/>
  <c r="P21" i="11" s="1"/>
  <c r="I88" i="5"/>
  <c r="I87" i="5"/>
  <c r="I78" i="5"/>
  <c r="M21" i="11" s="1"/>
  <c r="I77" i="5"/>
  <c r="R21" i="11" s="1"/>
  <c r="I75" i="5"/>
  <c r="F21" i="11" s="1"/>
  <c r="I73" i="5"/>
  <c r="L21" i="11" s="1"/>
  <c r="I72" i="5"/>
  <c r="I21" i="11" s="1"/>
  <c r="I70" i="5"/>
  <c r="H21" i="11" s="1"/>
  <c r="I69" i="5"/>
  <c r="P20" i="11" s="1"/>
  <c r="I68" i="5"/>
  <c r="I67" i="5"/>
  <c r="I58" i="5"/>
  <c r="I57" i="5"/>
  <c r="R20" i="11" s="1"/>
  <c r="I55" i="5"/>
  <c r="F20" i="11" s="1"/>
  <c r="I53" i="5"/>
  <c r="L20" i="11" s="1"/>
  <c r="I52" i="5"/>
  <c r="I20" i="11" s="1"/>
  <c r="I50" i="5"/>
  <c r="H20" i="11" s="1"/>
  <c r="I49" i="5"/>
  <c r="P19" i="11" s="1"/>
  <c r="I48" i="5"/>
  <c r="O19" i="11" s="1"/>
  <c r="I47" i="5"/>
  <c r="I38" i="5"/>
  <c r="I37" i="5"/>
  <c r="R19" i="11" s="1"/>
  <c r="I35" i="5"/>
  <c r="F19" i="11" s="1"/>
  <c r="I33" i="5"/>
  <c r="I32" i="5"/>
  <c r="I19" i="11" s="1"/>
  <c r="I30" i="5"/>
  <c r="H19" i="11" s="1"/>
  <c r="I29" i="5"/>
  <c r="P18" i="11" s="1"/>
  <c r="I28" i="5"/>
  <c r="O18" i="11" s="1"/>
  <c r="I27" i="5"/>
  <c r="N18" i="11" s="1"/>
  <c r="I18" i="5"/>
  <c r="I17" i="5"/>
  <c r="R18" i="11" s="1"/>
  <c r="I15" i="5"/>
  <c r="I13" i="5"/>
  <c r="I12" i="5"/>
  <c r="I10" i="5"/>
  <c r="H18" i="11" s="1"/>
  <c r="I8" i="5"/>
  <c r="L17" i="11" s="1"/>
  <c r="I7" i="5"/>
  <c r="I17" i="11" s="1"/>
  <c r="I5" i="5"/>
  <c r="H17" i="11" s="1"/>
  <c r="I58" i="4"/>
  <c r="Q16" i="11" s="1"/>
  <c r="I57" i="4"/>
  <c r="I56" i="4"/>
  <c r="R16" i="11" s="1"/>
  <c r="I55" i="4"/>
  <c r="I54" i="4"/>
  <c r="G16" i="11" s="1"/>
  <c r="I53" i="4"/>
  <c r="F16" i="11" s="1"/>
  <c r="I52" i="4"/>
  <c r="I51" i="4"/>
  <c r="K16" i="11" s="1"/>
  <c r="I50" i="4"/>
  <c r="I16" i="11" s="1"/>
  <c r="I49" i="4"/>
  <c r="H16" i="11" s="1"/>
  <c r="I48" i="4"/>
  <c r="Q15" i="11" s="1"/>
  <c r="I47" i="4"/>
  <c r="I46" i="4"/>
  <c r="R15" i="11" s="1"/>
  <c r="I45" i="4"/>
  <c r="I44" i="4"/>
  <c r="G15" i="11" s="1"/>
  <c r="I43" i="4"/>
  <c r="F15" i="11" s="1"/>
  <c r="I42" i="4"/>
  <c r="I41" i="4"/>
  <c r="K15" i="11" s="1"/>
  <c r="I40" i="4"/>
  <c r="I15" i="11" s="1"/>
  <c r="I39" i="4"/>
  <c r="H15" i="11" s="1"/>
  <c r="I38" i="4"/>
  <c r="Q14" i="11" s="1"/>
  <c r="I37" i="4"/>
  <c r="I36" i="4"/>
  <c r="R14" i="11" s="1"/>
  <c r="I35" i="4"/>
  <c r="I34" i="4"/>
  <c r="G14" i="11" s="1"/>
  <c r="I33" i="4"/>
  <c r="F14" i="11" s="1"/>
  <c r="I32" i="4"/>
  <c r="I31" i="4"/>
  <c r="K14" i="11" s="1"/>
  <c r="I30" i="4"/>
  <c r="I14" i="11" s="1"/>
  <c r="I29" i="4"/>
  <c r="H14" i="11" s="1"/>
  <c r="I28" i="4"/>
  <c r="Q13" i="11" s="1"/>
  <c r="I27" i="4"/>
  <c r="I26" i="4"/>
  <c r="R13" i="11" s="1"/>
  <c r="I25" i="4"/>
  <c r="I24" i="4"/>
  <c r="G13" i="11" s="1"/>
  <c r="I23" i="4"/>
  <c r="F13" i="11" s="1"/>
  <c r="I22" i="4"/>
  <c r="I21" i="4"/>
  <c r="K13" i="11" s="1"/>
  <c r="I20" i="4"/>
  <c r="I13" i="11" s="1"/>
  <c r="I19" i="4"/>
  <c r="H13" i="11" s="1"/>
  <c r="I18" i="4"/>
  <c r="Q12" i="11" s="1"/>
  <c r="I17" i="4"/>
  <c r="I16" i="4"/>
  <c r="R12" i="11" s="1"/>
  <c r="I15" i="4"/>
  <c r="I14" i="4"/>
  <c r="G12" i="11" s="1"/>
  <c r="I13" i="4"/>
  <c r="F12" i="11" s="1"/>
  <c r="I12" i="4"/>
  <c r="I11" i="4"/>
  <c r="K12" i="11" s="1"/>
  <c r="I10" i="4"/>
  <c r="I12" i="11" s="1"/>
  <c r="I9" i="4"/>
  <c r="H12" i="11" s="1"/>
  <c r="I8" i="4"/>
  <c r="L11" i="11" s="1"/>
  <c r="I7" i="4"/>
  <c r="K11" i="11" s="1"/>
  <c r="I6" i="4"/>
  <c r="I5" i="4"/>
  <c r="I97" i="3"/>
  <c r="I96" i="3"/>
  <c r="I95" i="3"/>
  <c r="I94" i="3"/>
  <c r="O10" i="11" s="1"/>
  <c r="I93" i="3"/>
  <c r="M10" i="11" s="1"/>
  <c r="I92" i="3"/>
  <c r="I91" i="3"/>
  <c r="N10" i="11" s="1"/>
  <c r="I90" i="3"/>
  <c r="I89" i="3"/>
  <c r="I88" i="3"/>
  <c r="I87" i="3"/>
  <c r="I10" i="11" s="1"/>
  <c r="I86" i="3"/>
  <c r="I85" i="3"/>
  <c r="I84" i="3"/>
  <c r="K10" i="11" s="1"/>
  <c r="I83" i="3"/>
  <c r="I82" i="3"/>
  <c r="I81" i="3"/>
  <c r="I80" i="3"/>
  <c r="P9" i="11" s="1"/>
  <c r="I79" i="3"/>
  <c r="I78" i="3"/>
  <c r="I77" i="3"/>
  <c r="O9" i="11" s="1"/>
  <c r="I76" i="3"/>
  <c r="M9" i="11" s="1"/>
  <c r="I75" i="3"/>
  <c r="R9" i="11" s="1"/>
  <c r="I74" i="3"/>
  <c r="N9" i="11" s="1"/>
  <c r="I73" i="3"/>
  <c r="I72" i="3"/>
  <c r="I71" i="3"/>
  <c r="L9" i="11" s="1"/>
  <c r="I70" i="3"/>
  <c r="I69" i="3"/>
  <c r="I68" i="3"/>
  <c r="I67" i="3"/>
  <c r="K9" i="11" s="1"/>
  <c r="I66" i="3"/>
  <c r="I65" i="3"/>
  <c r="I64" i="3"/>
  <c r="H9" i="11" s="1"/>
  <c r="I63" i="3"/>
  <c r="P8" i="11" s="1"/>
  <c r="I62" i="3"/>
  <c r="I61" i="3"/>
  <c r="I60" i="3"/>
  <c r="O8" i="11" s="1"/>
  <c r="I59" i="3"/>
  <c r="M8" i="11" s="1"/>
  <c r="I58" i="3"/>
  <c r="I57" i="3"/>
  <c r="N8" i="11" s="1"/>
  <c r="I56" i="3"/>
  <c r="G8" i="11" s="1"/>
  <c r="I55" i="3"/>
  <c r="F8" i="11" s="1"/>
  <c r="I54" i="3"/>
  <c r="L8" i="11" s="1"/>
  <c r="I53" i="3"/>
  <c r="I8" i="11" s="1"/>
  <c r="I52" i="3"/>
  <c r="I51" i="3"/>
  <c r="I50" i="3"/>
  <c r="I49" i="3"/>
  <c r="I48" i="3"/>
  <c r="I47" i="3"/>
  <c r="I46" i="3"/>
  <c r="P7" i="11" s="1"/>
  <c r="I45" i="3"/>
  <c r="I44" i="3"/>
  <c r="I43" i="3"/>
  <c r="O7" i="11" s="1"/>
  <c r="I42" i="3"/>
  <c r="M7" i="11" s="1"/>
  <c r="I41" i="3"/>
  <c r="R7" i="11" s="1"/>
  <c r="I40" i="3"/>
  <c r="N7" i="11" s="1"/>
  <c r="I39" i="3"/>
  <c r="G7" i="11" s="1"/>
  <c r="I38" i="3"/>
  <c r="I37" i="3"/>
  <c r="I36" i="3"/>
  <c r="I35" i="3"/>
  <c r="I34" i="3"/>
  <c r="I33" i="3"/>
  <c r="K7" i="11" s="1"/>
  <c r="I32" i="3"/>
  <c r="I31" i="3"/>
  <c r="I30" i="3"/>
  <c r="I29" i="3"/>
  <c r="P6" i="11" s="1"/>
  <c r="I28" i="3"/>
  <c r="I27" i="3"/>
  <c r="I26" i="3"/>
  <c r="O6" i="11" s="1"/>
  <c r="I25" i="3"/>
  <c r="M6" i="11" s="1"/>
  <c r="I24" i="3"/>
  <c r="R6" i="11" s="1"/>
  <c r="I23" i="3"/>
  <c r="N6" i="11" s="1"/>
  <c r="I22" i="3"/>
  <c r="I21" i="3"/>
  <c r="F6" i="11" s="1"/>
  <c r="I20" i="3"/>
  <c r="I19" i="3"/>
  <c r="I18" i="3"/>
  <c r="I17" i="3"/>
  <c r="I16" i="3"/>
  <c r="I15" i="3"/>
  <c r="I14" i="3"/>
  <c r="I13" i="3"/>
  <c r="H6" i="11" s="1"/>
  <c r="I12" i="3"/>
  <c r="L5" i="11" s="1"/>
  <c r="I11" i="3"/>
  <c r="I5" i="11" s="1"/>
  <c r="I10" i="3"/>
  <c r="I9" i="3"/>
  <c r="I8" i="3"/>
  <c r="K5" i="11" s="1"/>
  <c r="I7" i="3"/>
  <c r="I6" i="3"/>
  <c r="I5" i="3"/>
  <c r="H5" i="11" s="1"/>
</calcChain>
</file>

<file path=xl/sharedStrings.xml><?xml version="1.0" encoding="utf-8"?>
<sst xmlns="http://schemas.openxmlformats.org/spreadsheetml/2006/main" count="5374" uniqueCount="638">
  <si>
    <t>NTT DATA — Phase 3 Step 2: Peer Raw Data Collection</t>
  </si>
  <si>
    <t>Auditable raw financial inputs only. No DSO, DPO, CCC, peer medians, rankings, FX conversion, or cash-opportunity calculations are included.</t>
  </si>
  <si>
    <t>Purpose</t>
  </si>
  <si>
    <t>Build the largest accounting-consistent, source-traceable raw dataset for Accenture, Capgemini, CGI and TCS under the approved Step 1 methodology.</t>
  </si>
  <si>
    <t>Governing methodology</t>
  </si>
  <si>
    <t>NTT_DATA_Phase3_Step1_Peer_Comparability_FINAL.xlsx. Step 1 definitions override generic assumptions.</t>
  </si>
  <si>
    <t>Collection windows</t>
  </si>
  <si>
    <t>Accenture FY2021–FY2025 + FY2020 opening balances; Capgemini FY2020–FY2024 + FY2019 opening balances; CGI FY2021–FY2025 + FY2020 opening balances; TCS FY2022–FY2026 + FY2021 opening balances.</t>
  </si>
  <si>
    <t>Six-balance rule</t>
  </si>
  <si>
    <t>Five future average-balance observations require six year-end balance observations. Explicit QA is in Step 2 Review.</t>
  </si>
  <si>
    <t>Currency rule</t>
  </si>
  <si>
    <t>No FX conversion. Accenture USD thousands; Capgemini EUR millions; CGI CAD thousands; TCS INR crore.</t>
  </si>
  <si>
    <t>Raw-input convention</t>
  </si>
  <si>
    <t>Hardcoded raw financial inputs are blue. Formula-driven mapped/supporting values are black. Consolidated-sheet links to raw sheets are green.</t>
  </si>
  <si>
    <t>C / A / N / NR</t>
  </si>
  <si>
    <t>C = Comparable; A = Comparable with adjustment; N = Not comparable; NR = Not required.</t>
  </si>
  <si>
    <t>No-zero rule</t>
  </si>
  <si>
    <t>Unavailable accounts are never entered as zero. N / NR is stated explicitly.</t>
  </si>
  <si>
    <t>Standardized EBITDA inputs</t>
  </si>
  <si>
    <t>Collect Operating Profit plus Depreciation and Amortization. Where only a combined D&amp;A line is consistently available, preserve it as a combined raw input and document the limitation.</t>
  </si>
  <si>
    <t>Critical Step 2 finding</t>
  </si>
  <si>
    <t>TCS audited notes separate unbilled trade receivables from true contract assets. The broad Step 1 'unbilled → contract assets' mapping requires reconsideration. Step 2 uses: Trade Receivables = billed + unbilled trade receivables; Contract Assets = separately reported contract assets.</t>
  </si>
  <si>
    <t>Impact on peer sets</t>
  </si>
  <si>
    <t>No metric-level peer set is removed by the TCS mapping correction. TCS remains the only full-cycle external reference for DIO, Traditional CCC, Adjusted CCC and OWC / Revenue.</t>
  </si>
  <si>
    <t>Structural exclusions</t>
  </si>
  <si>
    <t>Capgemini FY2025 remains excluded from the clean working-capital turnover window due to the WNS acquisition. Accenture FY2026 and CGI FY2026 remain caution years if later added.</t>
  </si>
  <si>
    <t>Step 2 status</t>
  </si>
  <si>
    <t>COMPLETE after QA, subject to carrying the documented TCS Step 1 mapping reconsideration into Step 3 methodology normalization.</t>
  </si>
  <si>
    <t>Next step</t>
  </si>
  <si>
    <t>Dataset is sufficient to proceed to Phase 3 — Step 3: Normalize Definitions and Fiscal Periods. Step 3 has NOT been performed in this workbook.</t>
  </si>
  <si>
    <t>Peer Reporting Profile</t>
  </si>
  <si>
    <t>Collection windows and reporting conventions inherited from Step 1; no fiscal-period normalization performed yet.</t>
  </si>
  <si>
    <t>Peer</t>
  </si>
  <si>
    <t>Fiscal Year-End</t>
  </si>
  <si>
    <t>Currency</t>
  </si>
  <si>
    <t>Units</t>
  </si>
  <si>
    <t>Accounting Framework</t>
  </si>
  <si>
    <t>Future Ratio Window</t>
  </si>
  <si>
    <t>Balance Dates Collected</t>
  </si>
  <si>
    <t>Timing vs NTT DATA</t>
  </si>
  <si>
    <t>Structural Treatment</t>
  </si>
  <si>
    <t>Step 2 Status</t>
  </si>
  <si>
    <t>Accenture</t>
  </si>
  <si>
    <t>Aug 31</t>
  </si>
  <si>
    <t>USD</t>
  </si>
  <si>
    <t>USD thousands</t>
  </si>
  <si>
    <t>US GAAP</t>
  </si>
  <si>
    <t>FY2021–FY2025</t>
  </si>
  <si>
    <t>FY2020–FY2025</t>
  </si>
  <si>
    <t>Acceptable with caution</t>
  </si>
  <si>
    <t>FY2026 acquisition caution; not included in clean series</t>
  </si>
  <si>
    <t>Complete</t>
  </si>
  <si>
    <t>Capgemini</t>
  </si>
  <si>
    <t>Dec 31</t>
  </si>
  <si>
    <t>EUR</t>
  </si>
  <si>
    <t>EUR millions</t>
  </si>
  <si>
    <t>IFRS</t>
  </si>
  <si>
    <t>FY2020–FY2024</t>
  </si>
  <si>
    <t>FY2019–FY2024</t>
  </si>
  <si>
    <t>FY2025 WNS structural break excluded from normal turnover series</t>
  </si>
  <si>
    <t>CGI</t>
  </si>
  <si>
    <t>Sep 30</t>
  </si>
  <si>
    <t>CAD</t>
  </si>
  <si>
    <t>CAD thousands</t>
  </si>
  <si>
    <t>Pure AP unavailable; FY2026 acquisition caution</t>
  </si>
  <si>
    <t>Complete with known AP limitation</t>
  </si>
  <si>
    <t>TCS</t>
  </si>
  <si>
    <t>Mar 31</t>
  </si>
  <si>
    <t>INR</t>
  </si>
  <si>
    <t>INR crore</t>
  </si>
  <si>
    <t>Ind AS / IFRS reporting</t>
  </si>
  <si>
    <t>FY2022–FY2026</t>
  </si>
  <si>
    <t>FY2021–FY2026</t>
  </si>
  <si>
    <t>Good</t>
  </si>
  <si>
    <t>FY2026 acquisition flag; HyperVault future mix watch</t>
  </si>
  <si>
    <t>Complete; Step 1 mapping reconsideration documented</t>
  </si>
  <si>
    <t>Accenture Raw Data</t>
  </si>
  <si>
    <t>Future ratio years FY2021–FY2025; six balance dates FY2020–FY2025. FY2026 is excluded from the clean series and remains acquisition-cautioned.</t>
  </si>
  <si>
    <t>Fiscal Year</t>
  </si>
  <si>
    <t>Fiscal Year-End Date</t>
  </si>
  <si>
    <t>Reporting Currency</t>
  </si>
  <si>
    <t>Record Type</t>
  </si>
  <si>
    <t>Reported Account Name</t>
  </si>
  <si>
    <t>Raw Reported Value</t>
  </si>
  <si>
    <t>Mapped Phase 3 Account</t>
  </si>
  <si>
    <t>Mapped / Supporting Value</t>
  </si>
  <si>
    <t>Adjustment / Mapping Rule</t>
  </si>
  <si>
    <t>Structural Break Flag</t>
  </si>
  <si>
    <t>Comparability Note</t>
  </si>
  <si>
    <t>Source Document</t>
  </si>
  <si>
    <t>Source Note / Page</t>
  </si>
  <si>
    <t>Source URL</t>
  </si>
  <si>
    <t>Source Type</t>
  </si>
  <si>
    <t>FY2020</t>
  </si>
  <si>
    <t>Raw reported</t>
  </si>
  <si>
    <t>Trade Receivables</t>
  </si>
  <si>
    <t>Direct pure receivables; contract assets excluded</t>
  </si>
  <si>
    <t>No</t>
  </si>
  <si>
    <t>Balance observation for future average-balance analysis.</t>
  </si>
  <si>
    <t>Accenture plc Form 10-K FY2021</t>
  </si>
  <si>
    <t>Balance sheet / contract-balance disclosures</t>
  </si>
  <si>
    <t>https://www.sec.gov/Archives/edgar/data/1467373/000146737321000229/acn-20210831.htm</t>
  </si>
  <si>
    <t>Primary</t>
  </si>
  <si>
    <t>Current Contract Assets</t>
  </si>
  <si>
    <t>Contract Assets - current component</t>
  </si>
  <si>
    <t>Component for total contract assets</t>
  </si>
  <si>
    <t>Noncurrent Contract Assets</t>
  </si>
  <si>
    <t>Contract Assets - noncurrent component</t>
  </si>
  <si>
    <t>Trade Payables</t>
  </si>
  <si>
    <t>Pure accounts payable only</t>
  </si>
  <si>
    <t>Current Deferred Revenue</t>
  </si>
  <si>
    <t>Contract Liabilities - current component</t>
  </si>
  <si>
    <t>Deferred revenue mapped to contract liabilities</t>
  </si>
  <si>
    <t>Noncurrent Deferred Revenue</t>
  </si>
  <si>
    <t>Contract Liabilities - noncurrent component</t>
  </si>
  <si>
    <t>Mapped total</t>
  </si>
  <si>
    <t>Total Contract Assets (mapped)</t>
  </si>
  <si>
    <t>Contract Assets</t>
  </si>
  <si>
    <t>Current contract assets + noncurrent contract assets</t>
  </si>
  <si>
    <t>Mechanical mapping only; not an efficiency ratio.</t>
  </si>
  <si>
    <t>Contract-balance disclosures</t>
  </si>
  <si>
    <t>Total Contract Liabilities (mapped)</t>
  </si>
  <si>
    <t>Contract Liabilities</t>
  </si>
  <si>
    <t>Current deferred revenue + noncurrent deferred revenue</t>
  </si>
  <si>
    <t>Mechanical NTT-style contract-liability mapping.</t>
  </si>
  <si>
    <t>Revenue-recognition disclosures</t>
  </si>
  <si>
    <t>FY2021</t>
  </si>
  <si>
    <t>Revenue</t>
  </si>
  <si>
    <t>Direct reported input</t>
  </si>
  <si>
    <t>No peer efficiency ratio calculated.</t>
  </si>
  <si>
    <t>Income statement / cash flow / D&amp;A notes</t>
  </si>
  <si>
    <t>Cost of Services</t>
  </si>
  <si>
    <t>Cost Base</t>
  </si>
  <si>
    <t>Operating Income</t>
  </si>
  <si>
    <t>Operating Profit</t>
  </si>
  <si>
    <t>Net Income</t>
  </si>
  <si>
    <t>Operating Cash Flow</t>
  </si>
  <si>
    <t>Depreciation</t>
  </si>
  <si>
    <t>Amortization - Deferred Transition</t>
  </si>
  <si>
    <t>Amortization - component</t>
  </si>
  <si>
    <t>Amortization - Intangibles</t>
  </si>
  <si>
    <t>Supporting calculation</t>
  </si>
  <si>
    <t>Total Amortization (supporting)</t>
  </si>
  <si>
    <t>Amortization</t>
  </si>
  <si>
    <t>Deferred-transition amortization + intangible amortization</t>
  </si>
  <si>
    <t>Supporting standardized EBITDA input only.</t>
  </si>
  <si>
    <t>D&amp;A note</t>
  </si>
  <si>
    <t>FY2022</t>
  </si>
  <si>
    <t>Accenture plc Form 10-K FY2022</t>
  </si>
  <si>
    <t>https://www.sec.gov/Archives/edgar/data/1467373/000146737322000295/acn-20220831.htm</t>
  </si>
  <si>
    <t>FY2023</t>
  </si>
  <si>
    <t>Accenture plc Form 10-K FY2023</t>
  </si>
  <si>
    <t>https://www.sec.gov/Archives/edgar/data/1467373/000146737323000324/acn-20230831.htm</t>
  </si>
  <si>
    <t>FY2024</t>
  </si>
  <si>
    <t>Accenture plc Form 10-K FY2024</t>
  </si>
  <si>
    <t>https://www.sec.gov/Archives/edgar/data/1467373/000146737324000278/acn-20240831.htm</t>
  </si>
  <si>
    <t>FY2025</t>
  </si>
  <si>
    <t>Accenture plc Form 10-K FY2025</t>
  </si>
  <si>
    <t>https://www.sec.gov/Archives/edgar/data/1467373/000146737325000217/acn-20250831.htm</t>
  </si>
  <si>
    <t>All</t>
  </si>
  <si>
    <t>Methodology status</t>
  </si>
  <si>
    <t>Inventory</t>
  </si>
  <si>
    <t>Inventory — N / unavailable</t>
  </si>
  <si>
    <t>No separate inventory disclosed; do not enter zero.</t>
  </si>
  <si>
    <t>Accenture remains unavailable for DIO / full CCC.</t>
  </si>
  <si>
    <t>Phase 3 Step 1 Final Workbook</t>
  </si>
  <si>
    <t>Valid Peer Sets</t>
  </si>
  <si>
    <t>Methodology</t>
  </si>
  <si>
    <t>Capgemini Raw Data</t>
  </si>
  <si>
    <t>Clean working-capital window FY2020–FY2024 with FY2019 opening balances. FY2025 is a documented WNS structural break.</t>
  </si>
  <si>
    <t>FY2019</t>
  </si>
  <si>
    <t>Direct Step 1-approved pure account</t>
  </si>
  <si>
    <t>Clean pre-WNS balance observation.</t>
  </si>
  <si>
    <t>Capgemini FY2020 consolidated financial statements / URD</t>
  </si>
  <si>
    <t>Balance sheet / detailed working-capital notes</t>
  </si>
  <si>
    <t>https://investors.capgemini.com/en/file/16714?download=1</t>
  </si>
  <si>
    <t>Reported input.</t>
  </si>
  <si>
    <t>Income statement / cash flow / D&amp;A disclosure</t>
  </si>
  <si>
    <t>Cost of Services Rendered</t>
  </si>
  <si>
    <t>D&amp;A Combined</t>
  </si>
  <si>
    <t>Combined D&amp;A supporting standardized EBITDA</t>
  </si>
  <si>
    <t>Combined D&amp;A preserved; separate depreciation/amortization not collected consistently across all five years.</t>
  </si>
  <si>
    <t>Capgemini FY2022 consolidated financial statements / URD</t>
  </si>
  <si>
    <t>https://investors.capgemini.com/en/file/23993?download=1</t>
  </si>
  <si>
    <t>Capgemini FY2024 consolidated financial statements / URD</t>
  </si>
  <si>
    <t>https://investors.capgemini.com/en/file/28580?download=1</t>
  </si>
  <si>
    <t>Structural flag</t>
  </si>
  <si>
    <t>WNS acquisition structural break</t>
  </si>
  <si>
    <t>Not in clean turnover series</t>
  </si>
  <si>
    <t>Exclude FY2025 from standard NTT-formula WC-day observations</t>
  </si>
  <si>
    <t>Yes</t>
  </si>
  <si>
    <t>WNS closed 17 Oct 2025; year-end balances include WNS while FY2025 P&amp;L contains only post-close activity.</t>
  </si>
  <si>
    <t>Capgemini WNS completion announcement</t>
  </si>
  <si>
    <t>Closing / consolidation scope</t>
  </si>
  <si>
    <t>https://investors.capgemini.com/en/publication/capgemini-completes-the-acquisition-of-wns/</t>
  </si>
  <si>
    <t>No separate usable inventory series; do not enter zero.</t>
  </si>
  <si>
    <t>Capgemini remains unavailable for DIO/full CCC.</t>
  </si>
  <si>
    <t>CGI Raw Data</t>
  </si>
  <si>
    <t>Future ratio years FY2021–FY2025 with FY2020 opening balances. Pure trade AR is used; pure AP is not estimated from the combined AP/accrual balance.</t>
  </si>
  <si>
    <t>Use pure trade component from receivables note</t>
  </si>
  <si>
    <t>Headline AR includes non-trade items; pure trade AR is separately disclosed.</t>
  </si>
  <si>
    <t>CGI FY2021 Annual Report</t>
  </si>
  <si>
    <t>Balance sheet / receivables and working-capital notes</t>
  </si>
  <si>
    <t>https://www.cgi.com/sites/default/files/2021-12/cgi-2021-annual-report.pdf</t>
  </si>
  <si>
    <t>Headline Accounts Receivable</t>
  </si>
  <si>
    <t>NR — headline AR context</t>
  </si>
  <si>
    <t>Context only; not DSO balance</t>
  </si>
  <si>
    <t>Preserved to show why the headline balance is not used.</t>
  </si>
  <si>
    <t>Work in Progress</t>
  </si>
  <si>
    <t>Work in Progress → Contract Assets</t>
  </si>
  <si>
    <t>Revenue recognized in excess of billings.</t>
  </si>
  <si>
    <t>Deferred Revenue</t>
  </si>
  <si>
    <t>Deferred Revenue → Contract Liabilities</t>
  </si>
  <si>
    <t>Preserve CGI label while mapping economically.</t>
  </si>
  <si>
    <t>AP + Accrued Liabilities</t>
  </si>
  <si>
    <t>Trade Payables — N (not separable)</t>
  </si>
  <si>
    <t>Do not estimate pure trade AP from combined balance</t>
  </si>
  <si>
    <t>CGI DPO remains unusable; combined balance retained for audit trail only.</t>
  </si>
  <si>
    <t>Raw reported component</t>
  </si>
  <si>
    <t>No peer ratio calculated.</t>
  </si>
  <si>
    <t>Income statement / cash flow / Note 24</t>
  </si>
  <si>
    <t>Costs of Services, Selling &amp; Admin</t>
  </si>
  <si>
    <t>NR — combined operating cost context</t>
  </si>
  <si>
    <t>Net Earnings</t>
  </si>
  <si>
    <t>Earnings Before Income Taxes</t>
  </si>
  <si>
    <t>Operating Result - bridge component</t>
  </si>
  <si>
    <t>Net Finance Costs</t>
  </si>
  <si>
    <t>FX Loss/(Gain)</t>
  </si>
  <si>
    <t>Dep PP&amp;E</t>
  </si>
  <si>
    <t>Depreciation - component</t>
  </si>
  <si>
    <t>Dep ROU</t>
  </si>
  <si>
    <t>Amort Transition</t>
  </si>
  <si>
    <t>Amort Intangibles</t>
  </si>
  <si>
    <t>Amort Incentives</t>
  </si>
  <si>
    <t>Operating Result (mapped bridge)</t>
  </si>
  <si>
    <t>EBT + net finance costs + FX loss/(gain)</t>
  </si>
  <si>
    <t>Formula-driven from audited components; not an estimate.</t>
  </si>
  <si>
    <t>Income statement / finance note</t>
  </si>
  <si>
    <t>Depreciation (supporting total)</t>
  </si>
  <si>
    <t>Dep PP&amp;E + Dep ROU</t>
  </si>
  <si>
    <t>Impairments excluded.</t>
  </si>
  <si>
    <t>Note 24</t>
  </si>
  <si>
    <t>Amortization (supporting total)</t>
  </si>
  <si>
    <t>Transition + intangibles + incentives</t>
  </si>
  <si>
    <t>Impairment and financing/investment amortization excluded.</t>
  </si>
  <si>
    <t>CGI FY2023 Annual Report</t>
  </si>
  <si>
    <t>https://www.cgi.com/sites/default/files/2023-12/cgi-2023-annual-report.pdf</t>
  </si>
  <si>
    <t>CGI FY2025 Annual Report</t>
  </si>
  <si>
    <t>https://www.cgi.com/sites/default/files/2025-12/cgi-2025-annual-report.pdf</t>
  </si>
  <si>
    <t>CGI remains unavailable for DIO/full CCC.</t>
  </si>
  <si>
    <t>TCS Raw Data</t>
  </si>
  <si>
    <t>Future ratio years FY2022–FY2026 with FY2021 opening balances. Important Step 2 refinement: true contract assets are separately disclosed; unbilled trade receivables belong with receivables.</t>
  </si>
  <si>
    <t>Billed Trade Receivables</t>
  </si>
  <si>
    <t>Trade Receivables - billed component</t>
  </si>
  <si>
    <t>Component of unconditional trade receivables</t>
  </si>
  <si>
    <t>Step 2 audited-account mapping; preserves billed/unbilled distinction.</t>
  </si>
  <si>
    <t>TCS FY2022 audited consolidated financial statements</t>
  </si>
  <si>
    <t>Trade receivables / revenue / inventory / payable notes</t>
  </si>
  <si>
    <t>https://www.tcs.com/content/dam/tcs/investor-relations/financial-statements/2021-22/q4/IND%20AS/Consolidated.pdf</t>
  </si>
  <si>
    <t>Unbilled Trade Receivables</t>
  </si>
  <si>
    <t>Trade Receivables - unbilled component</t>
  </si>
  <si>
    <t>Unconditional receivable; only invoicing remains</t>
  </si>
  <si>
    <t>True Contract Assets</t>
  </si>
  <si>
    <t>Use separately disclosed true contract assets</t>
  </si>
  <si>
    <t>Direct</t>
  </si>
  <si>
    <t>Direct pure trade payables</t>
  </si>
  <si>
    <t>Direct total unearned/deferred revenue</t>
  </si>
  <si>
    <t>Total Trade Receivables (corrected mapping)</t>
  </si>
  <si>
    <t>Billed + unbilled trade receivables</t>
  </si>
  <si>
    <t>Step 1 classification reconsideration required: unbilled trade receivables are receivables, not contract assets.</t>
  </si>
  <si>
    <t>Trade-receivable / revenue-recognition notes</t>
  </si>
  <si>
    <t>Aggregate Unbilled Revenues (audit bridge)</t>
  </si>
  <si>
    <t>NR — audit bridge</t>
  </si>
  <si>
    <t>Unbilled trade receivables + true contract assets</t>
  </si>
  <si>
    <t>Audit bridge showing why the broad unbilled label is not wholly contract assets.</t>
  </si>
  <si>
    <t>Revenue / trade-receivable notes</t>
  </si>
  <si>
    <t>Consolidated P&amp;L / cash flow / D&amp;A</t>
  </si>
  <si>
    <t>Cost of Revenue</t>
  </si>
  <si>
    <t>TCS FY2023 audited consolidated financial statements</t>
  </si>
  <si>
    <t>https://www.tcs.com/content/dam/tcs/investor-relations/financial-statements/2022-23/ar/annual-report-2022-2023.pdf</t>
  </si>
  <si>
    <t>TCS FY2024 audited consolidated financial statements</t>
  </si>
  <si>
    <t>https://www.tcs.com/content/dam/tcs/investor-relations/financial-statements/2023-24/ar/annual-report-2023-2024.pdf</t>
  </si>
  <si>
    <t>TCS FY2025 audited consolidated financial statements</t>
  </si>
  <si>
    <t>https://www.tcs.com/content/dam/tcs/investor-relations/financial-statements/2024-25/ar/annual-report-2024-2025.pdf</t>
  </si>
  <si>
    <t>FY2026</t>
  </si>
  <si>
    <t>TCS FY2026 audited consolidated financial statements</t>
  </si>
  <si>
    <t>https://www.tcs.com/content/dam/tcs/investor-relations/financial-statements/2025-26/ar/annual-report-2025-2026.pdf</t>
  </si>
  <si>
    <t>Reported input / bridge component</t>
  </si>
  <si>
    <t>FY2026 exceptional items kept explicit.</t>
  </si>
  <si>
    <t>FY2026 audited results</t>
  </si>
  <si>
    <t>Operating Profit Before Exceptional</t>
  </si>
  <si>
    <t>Operating Profit - bridge component</t>
  </si>
  <si>
    <t>Exceptional Items</t>
  </si>
  <si>
    <t>Operating Profit — reported basis</t>
  </si>
  <si>
    <t>Operating profit before exceptional items - exceptional items</t>
  </si>
  <si>
    <t>Avoids using an adjusted operating result in peer comparison.</t>
  </si>
  <si>
    <t>FY2026 audited results / exceptional items</t>
  </si>
  <si>
    <t>Adjustments &amp; Mapping</t>
  </si>
  <si>
    <t>Only mechanical or conceptual mappings supported entirely by reported data are permitted. No estimated adjustments are used.</t>
  </si>
  <si>
    <t>Company</t>
  </si>
  <si>
    <t>Reported Account / Components</t>
  </si>
  <si>
    <t>Phase 3 Account</t>
  </si>
  <si>
    <t>Adjustment / Mapping</t>
  </si>
  <si>
    <t>Formula-Driven?</t>
  </si>
  <si>
    <t>Accounting Rationale</t>
  </si>
  <si>
    <t>Step 1 Status</t>
  </si>
  <si>
    <t>Step 2 Finding</t>
  </si>
  <si>
    <t>Current + noncurrent contract assets</t>
  </si>
  <si>
    <t>Sum the two reported components</t>
  </si>
  <si>
    <t>Captures total contract asset balance consistently</t>
  </si>
  <si>
    <t>A</t>
  </si>
  <si>
    <t>Confirmed</t>
  </si>
  <si>
    <t>Current + noncurrent deferred revenue</t>
  </si>
  <si>
    <t>Sum components; deferred revenue → contract liabilities</t>
  </si>
  <si>
    <t>Economic contract liability under revenue-recognition model</t>
  </si>
  <si>
    <t>Sum components</t>
  </si>
  <si>
    <t>Standardized EBITDA supporting input</t>
  </si>
  <si>
    <t>Trade payables component only</t>
  </si>
  <si>
    <t>Use pure trade-payable disclosure, not total payables</t>
  </si>
  <si>
    <t>Matches NTT pure AP definition</t>
  </si>
  <si>
    <t>C</t>
  </si>
  <si>
    <t>Combined depreciation &amp; amortization</t>
  </si>
  <si>
    <t>Preserve combined reported amount</t>
  </si>
  <si>
    <t>Sufficient supporting input where separate split is not consistently collected</t>
  </si>
  <si>
    <t>New disclosure limitation retained</t>
  </si>
  <si>
    <t>Direct conceptual mapping</t>
  </si>
  <si>
    <t>Revenue recognized in excess of billings</t>
  </si>
  <si>
    <t>Customer consideration before service delivery</t>
  </si>
  <si>
    <t>C/A</t>
  </si>
  <si>
    <t>AP + accrued liabilities</t>
  </si>
  <si>
    <t>NO mapping / no estimate</t>
  </si>
  <si>
    <t>Pure trade AP cannot be separated</t>
  </si>
  <si>
    <t>N</t>
  </si>
  <si>
    <t>Confirmed N</t>
  </si>
  <si>
    <t>Formula-driven bridge</t>
  </si>
  <si>
    <t>Reconstructs operating result from audited components</t>
  </si>
  <si>
    <t>Documented</t>
  </si>
  <si>
    <t>Excludes impairment</t>
  </si>
  <si>
    <t>Transition + intangible + incentive amortization</t>
  </si>
  <si>
    <t>Excludes impairment and financing/investment amortization</t>
  </si>
  <si>
    <t>Billed trade receivables + unbilled trade receivables</t>
  </si>
  <si>
    <t>Sum the two unconditional receivable components</t>
  </si>
  <si>
    <t>Unbilled receivable requires only invoicing; it is not the true contract asset</t>
  </si>
  <si>
    <t>Step 1: C based on billed-only assumption</t>
  </si>
  <si>
    <t>RECONSIDERATION REQUIRED → A</t>
  </si>
  <si>
    <t>Separately reported contract assets</t>
  </si>
  <si>
    <t>Use direct contract-asset balance</t>
  </si>
  <si>
    <t>Audited note distinguishes contract assets from unbilled trade receivables</t>
  </si>
  <si>
    <t>Step 1: A using unbilled mapping</t>
  </si>
  <si>
    <t>RECONSIDERATION REQUIRED → C</t>
  </si>
  <si>
    <t>Aggregate Unbilled Revenues</t>
  </si>
  <si>
    <t>Audit bridge only — NR for metrics</t>
  </si>
  <si>
    <t>Explains broad company 'unbilled' terminology</t>
  </si>
  <si>
    <t>NR</t>
  </si>
  <si>
    <t>New audit bridge</t>
  </si>
  <si>
    <t>FY2026 pre-exception operating profit - exceptional items</t>
  </si>
  <si>
    <t>Formula to reported basis</t>
  </si>
  <si>
    <t>Avoids management-adjusted peer input</t>
  </si>
  <si>
    <t>Structural &amp; Data Quality Flags</t>
  </si>
  <si>
    <t>Structural-break and definition warnings that must accompany later ratio construction and normalization.</t>
  </si>
  <si>
    <t>Issue</t>
  </si>
  <si>
    <t>Type</t>
  </si>
  <si>
    <t>Severity</t>
  </si>
  <si>
    <t>Affected Accounts</t>
  </si>
  <si>
    <t>Treatment</t>
  </si>
  <si>
    <t>Source</t>
  </si>
  <si>
    <t>Acquisition-heavy year; COMWARE closed exactly at Aug 31 year-end</t>
  </si>
  <si>
    <t>Structural</t>
  </si>
  <si>
    <t>Moderate</t>
  </si>
  <si>
    <t>Year-end working-capital balances / turnover denominators</t>
  </si>
  <si>
    <t>Do not automatically add FY2026 to clean turnover series; inspect acquisition accounting first</t>
  </si>
  <si>
    <t>https://newsroom.accenture.com/news/2026/accenture-to-acquire-comware-to-strengthen-accenture-edge-and-accelerate-digital-core-reinvention-for-mid-market-companies-in-japan</t>
  </si>
  <si>
    <t>WNS entered consolidation 17 Oct 2025</t>
  </si>
  <si>
    <t>High</t>
  </si>
  <si>
    <t>AR, CA, AP, CL and annual denominators</t>
  </si>
  <si>
    <t>Exclude FY2025 from normal NTT-formula working-capital-day observations</t>
  </si>
  <si>
    <t>All years</t>
  </si>
  <si>
    <t>Pure trade payables not separately disclosed</t>
  </si>
  <si>
    <t>Disclosure</t>
  </si>
  <si>
    <t>Trade Payables / DPO / full CCC / OWC</t>
  </si>
  <si>
    <t>Do not estimate; keep CGI DPO unavailable</t>
  </si>
  <si>
    <t>Multiple acquisitions, including BJSS and Apside</t>
  </si>
  <si>
    <t>Closing working-capital balances and trend interpretation</t>
  </si>
  <si>
    <t>Retain FY2025 but flag acquisition-heavy scope when interpreting later ratios</t>
  </si>
  <si>
    <t>Comarch Polska and near-year-end Callibrity acquisitions</t>
  </si>
  <si>
    <t>Future year-end balances / turnover denominators</t>
  </si>
  <si>
    <t>If FY2026 is added later, inspect acquisition accounting before use</t>
  </si>
  <si>
    <t>https://www.cgi.com/en/cgi-acquires-callibrity-cincinnati-ai-production-platform-engineering-capabilities</t>
  </si>
  <si>
    <t>Step 1 treated broad unbilled balances as contract assets; audited notes separate unbilled trade receivables and true contract assets</t>
  </si>
  <si>
    <t>Definition</t>
  </si>
  <si>
    <t>Trade Receivables; Contract Assets; DSO; Contract Asset Days</t>
  </si>
  <si>
    <t>Use corrected raw mapping in Step 2; carry Step 1 classification reconsideration into Step 3</t>
  </si>
  <si>
    <t>Coastal Cloud acquisition</t>
  </si>
  <si>
    <t>Low</t>
  </si>
  <si>
    <t>Consolidation scope</t>
  </si>
  <si>
    <t>Retain with acquisition flag; no disqualifying break found</t>
  </si>
  <si>
    <t>https://www.tcs.com/content/dam/tcs/pdf/discover-tcs/investor-relations/corporate-actions/2025-26/completion-acquisition-coastal-cloud-holdings-llc-140126.pdf</t>
  </si>
  <si>
    <t>FY2027+</t>
  </si>
  <si>
    <t>HyperVault AI infrastructure build-out may change future capital intensity</t>
  </si>
  <si>
    <t>Business mix</t>
  </si>
  <si>
    <t>Inventory / cost base / OWC comparability</t>
  </si>
  <si>
    <t>Monitor materiality before extending future full-cycle comparison</t>
  </si>
  <si>
    <t>https://www.tcs.com/who-we-are/newsroom/press-release/tcs-hypervault-establish-large-scale-ai-data-center-campus-telangana</t>
  </si>
  <si>
    <t>Sources</t>
  </si>
  <si>
    <t>Primary-source register for the multi-year peer raw dataset. Every major raw observation also carries its source URL on the company sheet.</t>
  </si>
  <si>
    <t>Source ID</t>
  </si>
  <si>
    <t>Fiscal Year(s) Supported</t>
  </si>
  <si>
    <t>Document Name</t>
  </si>
  <si>
    <t>Publication Date</t>
  </si>
  <si>
    <t>Document Type</t>
  </si>
  <si>
    <t>Accounts / Data Supported</t>
  </si>
  <si>
    <t>Page / Note</t>
  </si>
  <si>
    <t>URL</t>
  </si>
  <si>
    <t>Classification</t>
  </si>
  <si>
    <t>S01</t>
  </si>
  <si>
    <t>Phase 3 Step 1</t>
  </si>
  <si>
    <t>NTT_DATA_Phase3_Step1_Peer_Comparability_FINAL.xlsx</t>
  </si>
  <si>
    <t>2026-09-14</t>
  </si>
  <si>
    <t>Internal project workbook</t>
  </si>
  <si>
    <t>Definitions; peer mappings; collection windows; structural treatment</t>
  </si>
  <si>
    <t>All methodology sheets</t>
  </si>
  <si>
    <t>Internal project file</t>
  </si>
  <si>
    <t>Primary methodology</t>
  </si>
  <si>
    <t>S02</t>
  </si>
  <si>
    <t>FY2020 comparative / FY2021</t>
  </si>
  <si>
    <t>See SEC filing timestamp</t>
  </si>
  <si>
    <t>10-K</t>
  </si>
  <si>
    <t>Revenue; cost; AR; contract assets; AP; deferred revenue; CFO; operating income; D&amp;A; net income</t>
  </si>
  <si>
    <t>Consolidated statements and notes</t>
  </si>
  <si>
    <t>S03</t>
  </si>
  <si>
    <t>FY2021 comparative / FY2022</t>
  </si>
  <si>
    <t>S04</t>
  </si>
  <si>
    <t>FY2022 comparative / FY2023</t>
  </si>
  <si>
    <t>S05</t>
  </si>
  <si>
    <t>FY2023 comparative / FY2024</t>
  </si>
  <si>
    <t>S06</t>
  </si>
  <si>
    <t>FY2024 comparative / FY2025</t>
  </si>
  <si>
    <t>S07</t>
  </si>
  <si>
    <t>FY2019–FY2020</t>
  </si>
  <si>
    <t>2020 Universal Registration Document</t>
  </si>
  <si>
    <t>2021-03-29</t>
  </si>
  <si>
    <t>URD / audited financial statements</t>
  </si>
  <si>
    <t>Working-capital balances; income and cash-flow inputs</t>
  </si>
  <si>
    <t>Consolidated financial statements</t>
  </si>
  <si>
    <t>S08</t>
  </si>
  <si>
    <t>FY2021–FY2022</t>
  </si>
  <si>
    <t>FY2022 consolidated financial statements</t>
  </si>
  <si>
    <t>2023</t>
  </si>
  <si>
    <t>Audited financial statements</t>
  </si>
  <si>
    <t>S09</t>
  </si>
  <si>
    <t>FY2023–FY2024</t>
  </si>
  <si>
    <t>FY2024 consolidated financial statements</t>
  </si>
  <si>
    <t>2025-02</t>
  </si>
  <si>
    <t>S10</t>
  </si>
  <si>
    <t>FY2025 structural</t>
  </si>
  <si>
    <t>WNS acquisition completion announcement</t>
  </si>
  <si>
    <t>2025-10-17</t>
  </si>
  <si>
    <t>Official acquisition announcement</t>
  </si>
  <si>
    <t>Structural break / consolidation timing</t>
  </si>
  <si>
    <t>Closing announcement</t>
  </si>
  <si>
    <t>S11</t>
  </si>
  <si>
    <t>FY2020–FY2021</t>
  </si>
  <si>
    <t>2021-11/12</t>
  </si>
  <si>
    <t>Annual report / audited FS</t>
  </si>
  <si>
    <t>AR detail; WIP; deferred revenue; AP+accruals; cash flow; Note 24 D&amp;A</t>
  </si>
  <si>
    <t>Consolidated FS and notes</t>
  </si>
  <si>
    <t>S12</t>
  </si>
  <si>
    <t>FY2022–FY2023</t>
  </si>
  <si>
    <t>2023-11/12</t>
  </si>
  <si>
    <t>S13</t>
  </si>
  <si>
    <t>FY2024–FY2025</t>
  </si>
  <si>
    <t>2025-11/12</t>
  </si>
  <si>
    <t>S14</t>
  </si>
  <si>
    <t>2022-04/05</t>
  </si>
  <si>
    <t>Revenue; cost of revenue; billed/unbilled receivables; contract assets; inventory; AP; CL; CFO; operating profit; D&amp;A; net income</t>
  </si>
  <si>
    <t>S15</t>
  </si>
  <si>
    <t>2023-04/05</t>
  </si>
  <si>
    <t>S16</t>
  </si>
  <si>
    <t>2024-04/05</t>
  </si>
  <si>
    <t>S17</t>
  </si>
  <si>
    <t>2025-04/05</t>
  </si>
  <si>
    <t>S18</t>
  </si>
  <si>
    <t>FY2025 comparative / FY2026</t>
  </si>
  <si>
    <t>2026-04/05</t>
  </si>
  <si>
    <t>S19</t>
  </si>
  <si>
    <t>FY2026 structural</t>
  </si>
  <si>
    <t>Coastal Cloud acquisition completion</t>
  </si>
  <si>
    <t>2026-01-14</t>
  </si>
  <si>
    <t>Official acquisition filing</t>
  </si>
  <si>
    <t>FY2026 structural flag</t>
  </si>
  <si>
    <t>Completion notice</t>
  </si>
  <si>
    <t>Completeness Matrix</t>
  </si>
  <si>
    <t>Availability status after Step 2 collection. Matrix agrees with Step 1 except for the explicitly documented TCS raw-account mapping reconsideration.</t>
  </si>
  <si>
    <t>Input / Account</t>
  </si>
  <si>
    <t>Accenture Note</t>
  </si>
  <si>
    <t>Capgemini Note</t>
  </si>
  <si>
    <t>CGI Note</t>
  </si>
  <si>
    <t>TCS Note</t>
  </si>
  <si>
    <t>Cost of services</t>
  </si>
  <si>
    <t>Cost of services rendered</t>
  </si>
  <si>
    <t>NR — Not Required</t>
  </si>
  <si>
    <t>CGI DPO/DIO unavailable; do not force denominator</t>
  </si>
  <si>
    <t>IFRS cost of revenue</t>
  </si>
  <si>
    <t>Pure receivables separated from contract assets</t>
  </si>
  <si>
    <t>Pure trade receivables</t>
  </si>
  <si>
    <t>Pure trade component from note, not headline AR</t>
  </si>
  <si>
    <t>Mapped billed + unbilled trade receivables; Step 1 reconsideration</t>
  </si>
  <si>
    <t>Current + noncurrent mapped total</t>
  </si>
  <si>
    <t>Direct contract assets; contract costs excluded</t>
  </si>
  <si>
    <t>Work in Progress mapping</t>
  </si>
  <si>
    <t>Use separately reported true contract assets; Step 1 reconsideration</t>
  </si>
  <si>
    <t>N — Not Comparable</t>
  </si>
  <si>
    <t>No separate inventory disclosed</t>
  </si>
  <si>
    <t>No separate usable inventory</t>
  </si>
  <si>
    <t>Pure accounts payable</t>
  </si>
  <si>
    <t>Pure trade-payable component</t>
  </si>
  <si>
    <t>Combined AP + accrued liabilities cannot be separated</t>
  </si>
  <si>
    <t>Pure trade payables</t>
  </si>
  <si>
    <t>Current + noncurrent deferred revenue mapped</t>
  </si>
  <si>
    <t>Direct contract liabilities</t>
  </si>
  <si>
    <t>Deferred revenue mapping</t>
  </si>
  <si>
    <t>Reported unearned/deferred revenue total</t>
  </si>
  <si>
    <t>Five annual observations</t>
  </si>
  <si>
    <t>Reported operating income</t>
  </si>
  <si>
    <t>Reported operating profit</t>
  </si>
  <si>
    <t>Formula bridge from audited components</t>
  </si>
  <si>
    <t>FY2026 adjusted back to reported basis</t>
  </si>
  <si>
    <t>Separate depreciation</t>
  </si>
  <si>
    <t>Partial</t>
  </si>
  <si>
    <t>Combined D&amp;A only across full series</t>
  </si>
  <si>
    <t>PP&amp;E + ROU depreciation</t>
  </si>
  <si>
    <t>Combined D&amp;A only</t>
  </si>
  <si>
    <t>Formula total of reported components</t>
  </si>
  <si>
    <t>D&amp;A Combined / equivalent</t>
  </si>
  <si>
    <t>Separate D + A inputs sufficient</t>
  </si>
  <si>
    <t>Combined reported D&amp;A</t>
  </si>
  <si>
    <t>Reported net income</t>
  </si>
  <si>
    <t>Group-share net profit</t>
  </si>
  <si>
    <t>Net earnings</t>
  </si>
  <si>
    <t>Profit attributable to shareholders</t>
  </si>
  <si>
    <t>Consolidated Peer Raw Data</t>
  </si>
  <si>
    <t>Standardized long-form view linked back to company raw sheets. These are raw/mapped financial inputs only; no working-capital efficiency ratios are calculated.</t>
  </si>
  <si>
    <t>Structural Break / Caution</t>
  </si>
  <si>
    <t>Data Quality Flag</t>
  </si>
  <si>
    <t>Pure Trade Payables unavailable; no DPO/full CCC.</t>
  </si>
  <si>
    <t>FY2025 acquisition-heavy caution</t>
  </si>
  <si>
    <t>Step 1 AR/contract-asset mapping reconsideration documented.</t>
  </si>
  <si>
    <t>FY2026 acquisition flag</t>
  </si>
  <si>
    <t>Peer-level review gates, six-balance test, global audit and analytical review. No peer efficiency ratios are calculated.</t>
  </si>
  <si>
    <t>1. Peer Review Gates</t>
  </si>
  <si>
    <t>Check</t>
  </si>
  <si>
    <t>Status</t>
  </si>
  <si>
    <t>Finding / Evidence</t>
  </si>
  <si>
    <t>Action Taken</t>
  </si>
  <si>
    <t>Remaining Limitation</t>
  </si>
  <si>
    <t>Source / Sheet</t>
  </si>
  <si>
    <t>Ready?</t>
  </si>
  <si>
    <t>AR/CA separation; pure AP; contract totals; sources; no ratios</t>
  </si>
  <si>
    <t>PASS</t>
  </si>
  <si>
    <t>Six balance dates FY2020–FY2025; current/noncurrent CA &amp; deferred revenue mapped by formula</t>
  </si>
  <si>
    <t>Kept FY2026 outside clean series</t>
  </si>
  <si>
    <t>Inventory unavailable</t>
  </si>
  <si>
    <t>YES</t>
  </si>
  <si>
    <t>Pre-WNS clean history; FY2025 flag; AR/CA/AP/CL definitions</t>
  </si>
  <si>
    <t>FY2019–FY2024 balances; future ratios FY2020–FY2024</t>
  </si>
  <si>
    <t>FY2025 WNS explicitly excluded from normal turnover series</t>
  </si>
  <si>
    <t>Inventory unavailable; D&amp;A combined</t>
  </si>
  <si>
    <t>WIP/CL mappings; no estimated AP; sources; FY2026 caution</t>
  </si>
  <si>
    <t>Pure trade AR collected from note; AP+accruals retained only for audit trail</t>
  </si>
  <si>
    <t>No pure AP estimate; operating result and D/A mapped from audited components</t>
  </si>
  <si>
    <t>DPO/full CCC remain unavailable</t>
  </si>
  <si>
    <t>Billed/unbilled distinction; inventory; AP; CL; cost base; six balances</t>
  </si>
  <si>
    <t>PASS WITH METHODOLOGY ALERT</t>
  </si>
  <si>
    <t>Audited notes distinguish unbilled trade receivables from true contract assets</t>
  </si>
  <si>
    <t>Corrected raw mapping in Step 2; Step 1 reconsideration flag added</t>
  </si>
  <si>
    <t>Step 1 raw-account classification should be updated in Step 3 governance</t>
  </si>
  <si>
    <t>TCS Raw Data / Adjustments &amp; Mapping</t>
  </si>
  <si>
    <t>2. Six-Balance Test for Average-Balance Metrics</t>
  </si>
  <si>
    <t>Account</t>
  </si>
  <si>
    <t>Target Ratio Years</t>
  </si>
  <si>
    <t>Required Balances</t>
  </si>
  <si>
    <t>Actual Balances</t>
  </si>
  <si>
    <t>Result</t>
  </si>
  <si>
    <t>Years Collected</t>
  </si>
  <si>
    <t>Comment</t>
  </si>
  <si>
    <t>FY2025 excluded due WNS</t>
  </si>
  <si>
    <t>N/A</t>
  </si>
  <si>
    <t>N — pure AP unavailable; no test required</t>
  </si>
  <si>
    <t>TCS full-cycle coverage</t>
  </si>
  <si>
    <t>3. Analytical Review of Dataset</t>
  </si>
  <si>
    <t>Question</t>
  </si>
  <si>
    <t>Answer</t>
  </si>
  <si>
    <t>Finding</t>
  </si>
  <si>
    <t>Methodology Impact</t>
  </si>
  <si>
    <t>1. Does collected data support Step 1 metric peer sets?</t>
  </si>
  <si>
    <t>All metric-level peer sets remain supported.</t>
  </si>
  <si>
    <t>No peer removal.</t>
  </si>
  <si>
    <t>2. Did a report reveal a definition different from Step 1?</t>
  </si>
  <si>
    <t>TCS audited notes distinguish unbilled trade receivables from true contract assets.</t>
  </si>
  <si>
    <t>Raw-account classification reconsideration required.</t>
  </si>
  <si>
    <t>3. Enough balances for five-year series?</t>
  </si>
  <si>
    <t>All applicable average-balance accounts pass six-balance test.</t>
  </si>
  <si>
    <t>Ready for Step 3.</t>
  </si>
  <si>
    <t>4. Structural-break years likely excluded in Step 3?</t>
  </si>
  <si>
    <t>Capgemini FY2025 remains binding exclusion for normal turnover series.</t>
  </si>
  <si>
    <t>Carry exclusion.</t>
  </si>
  <si>
    <t>5. Any peer newly unusable for a previously usable metric?</t>
  </si>
  <si>
    <t>NO</t>
  </si>
  <si>
    <t>TCS remains usable after corrected mapping; CGI AP limitation unchanged.</t>
  </si>
  <si>
    <t>No metric-level peer-set reduction.</t>
  </si>
  <si>
    <t>6. Any previously unusable metric newly usable?</t>
  </si>
  <si>
    <t>No new pure AP or inventory disclosure changed the existing peer sets.</t>
  </si>
  <si>
    <t>No metric-level peer-set expansion.</t>
  </si>
  <si>
    <t>4. Global Data Audit</t>
  </si>
  <si>
    <t>#</t>
  </si>
  <si>
    <t>Audit Check</t>
  </si>
  <si>
    <t>All four peers present</t>
  </si>
  <si>
    <t>Only Step 1-approved definitions used, except documented TCS reconsideration</t>
  </si>
  <si>
    <t>Raw reported account names preserved</t>
  </si>
  <si>
    <t>Mappings documented</t>
  </si>
  <si>
    <t>No unsupported estimates</t>
  </si>
  <si>
    <t>No missing balance entered as zero</t>
  </si>
  <si>
    <t>Currencies and units documented</t>
  </si>
  <si>
    <t>No FX conversion</t>
  </si>
  <si>
    <t>Structural-break years flagged</t>
  </si>
  <si>
    <t>Capgemini FY2025 treatment correct</t>
  </si>
  <si>
    <t>CGI pure AP not estimated</t>
  </si>
  <si>
    <t>TCS billed/unbilled balances remain separate</t>
  </si>
  <si>
    <t>Accenture current/noncurrent contract components retained</t>
  </si>
  <si>
    <t>Six balances exist where targeted</t>
  </si>
  <si>
    <t>Major numbers traceable to primary sources</t>
  </si>
  <si>
    <t>Standardized EBITDA inputs collected consistently</t>
  </si>
  <si>
    <t>No final efficiency ratios calculated</t>
  </si>
  <si>
    <t>No peer median calculated</t>
  </si>
  <si>
    <t>No NTT DATA ranking calculated</t>
  </si>
  <si>
    <t>No Phase 4 cash opportunity calculated</t>
  </si>
  <si>
    <t>No formula errors after final scan</t>
  </si>
  <si>
    <t>Review &amp; Final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</si>
</sst>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\-"/>
    <numFmt numFmtId="165" formatCode="yyyy\-mm\-dd"/>
  </numFmts>
  <fonts count="12">
    <font>
      <sz val="11"/>
      <name val="Carlito"/>
    </font>
    <font>
      <b/>
      <sz val="15"/>
      <color rgb="FFFFFFFF"/>
      <name val="Carlito"/>
    </font>
    <font>
      <i/>
      <sz val="10"/>
      <color rgb="FF404040"/>
      <name val="Carlito"/>
    </font>
    <font>
      <b/>
      <sz val="10"/>
      <color rgb="FFFFFFFF"/>
      <name val="Carlito"/>
    </font>
    <font>
      <sz val="9"/>
      <name val="Carlito"/>
    </font>
    <font>
      <sz val="9"/>
      <color rgb="FF0000FF"/>
      <name val="Carlito"/>
    </font>
    <font>
      <sz val="8"/>
      <color rgb="FF0563C1"/>
      <name val="Carlito"/>
    </font>
    <font>
      <b/>
      <sz val="11"/>
      <color rgb="FFFFFFFF"/>
      <name val="Carlito"/>
    </font>
    <font>
      <sz val="10"/>
      <name val="Carlito"/>
    </font>
    <font>
      <sz val="9"/>
      <color rgb="FF008000"/>
      <name val="Carlito"/>
    </font>
    <font>
      <b/>
      <sz val="9"/>
      <color rgb="FF9C6500"/>
      <name val="Carlito"/>
    </font>
    <font>
      <b/>
      <sz val="9"/>
      <color rgb="FF0061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4" fillId="0" borderId="0" xfId="0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9" fillId="0" borderId="0" xfId="0" applyNumberFormat="1" applyFont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wrapText="1"/>
    </xf>
    <xf numFmtId="0" fontId="7" fillId="4" borderId="0" xfId="0" applyFont="1" applyFill="1"/>
  </cellXfs>
  <cellStyles count="1">
    <cellStyle name="Normal" xfId="0" builtinId="0"/>
  </cellStyles>
  <dxfs count="22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PeerProfileTbl" displayName="PeerProfileTbl" ref="A4:J8" totalsRowShown="0">
  <tableColumns count="10">
    <tableColumn id="1" xr3:uid="{00000000-0010-0000-0000-000001000000}" name="Peer"/>
    <tableColumn id="2" xr3:uid="{00000000-0010-0000-0000-000002000000}" name="Fiscal Year-End"/>
    <tableColumn id="3" xr3:uid="{00000000-0010-0000-0000-000003000000}" name="Currency"/>
    <tableColumn id="4" xr3:uid="{00000000-0010-0000-0000-000004000000}" name="Units"/>
    <tableColumn id="5" xr3:uid="{00000000-0010-0000-0000-000005000000}" name="Accounting Framework"/>
    <tableColumn id="6" xr3:uid="{00000000-0010-0000-0000-000006000000}" name="Future Ratio Window"/>
    <tableColumn id="7" xr3:uid="{00000000-0010-0000-0000-000007000000}" name="Balance Dates Collected"/>
    <tableColumn id="8" xr3:uid="{00000000-0010-0000-0000-000008000000}" name="Timing vs NTT DATA"/>
    <tableColumn id="9" xr3:uid="{00000000-0010-0000-0000-000009000000}" name="Structural Treatment"/>
    <tableColumn id="10" xr3:uid="{00000000-0010-0000-0000-00000A000000}" name="Step 2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ccentureRawDataTbl" displayName="AccentureRawDataTbl" ref="A4:P98" totalsRowShown="0">
  <tableColumns count="16">
    <tableColumn id="1" xr3:uid="{00000000-0010-0000-0100-000001000000}" name="Fiscal Year"/>
    <tableColumn id="2" xr3:uid="{00000000-0010-0000-0100-000002000000}" name="Fiscal Year-End Date"/>
    <tableColumn id="3" xr3:uid="{00000000-0010-0000-0100-000003000000}" name="Reporting Currency"/>
    <tableColumn id="4" xr3:uid="{00000000-0010-0000-0100-000004000000}" name="Units"/>
    <tableColumn id="5" xr3:uid="{00000000-0010-0000-0100-000005000000}" name="Record Type"/>
    <tableColumn id="6" xr3:uid="{00000000-0010-0000-0100-000006000000}" name="Reported Account Name"/>
    <tableColumn id="7" xr3:uid="{00000000-0010-0000-0100-000007000000}" name="Raw Reported Value"/>
    <tableColumn id="8" xr3:uid="{00000000-0010-0000-0100-000008000000}" name="Mapped Phase 3 Account"/>
    <tableColumn id="9" xr3:uid="{00000000-0010-0000-0100-000009000000}" name="Mapped / Supporting Value"/>
    <tableColumn id="10" xr3:uid="{00000000-0010-0000-0100-00000A000000}" name="Adjustment / Mapping Rule"/>
    <tableColumn id="11" xr3:uid="{00000000-0010-0000-0100-00000B000000}" name="Structural Break Flag"/>
    <tableColumn id="12" xr3:uid="{00000000-0010-0000-0100-00000C000000}" name="Comparability Note"/>
    <tableColumn id="13" xr3:uid="{00000000-0010-0000-0100-00000D000000}" name="Source Document"/>
    <tableColumn id="14" xr3:uid="{00000000-0010-0000-0100-00000E000000}" name="Source Note / Page"/>
    <tableColumn id="15" xr3:uid="{00000000-0010-0000-0100-00000F000000}" name="Source URL"/>
    <tableColumn id="16" xr3:uid="{00000000-0010-0000-0100-000010000000}" name="Source Typ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apgeminiRawDataTbl" displayName="CapgeminiRawDataTbl" ref="A4:P60" totalsRowShown="0">
  <tableColumns count="16">
    <tableColumn id="1" xr3:uid="{00000000-0010-0000-0200-000001000000}" name="Fiscal Year"/>
    <tableColumn id="2" xr3:uid="{00000000-0010-0000-0200-000002000000}" name="Fiscal Year-End Date"/>
    <tableColumn id="3" xr3:uid="{00000000-0010-0000-0200-000003000000}" name="Reporting Currency"/>
    <tableColumn id="4" xr3:uid="{00000000-0010-0000-0200-000004000000}" name="Units"/>
    <tableColumn id="5" xr3:uid="{00000000-0010-0000-0200-000005000000}" name="Record Type"/>
    <tableColumn id="6" xr3:uid="{00000000-0010-0000-0200-000006000000}" name="Reported Account Name"/>
    <tableColumn id="7" xr3:uid="{00000000-0010-0000-0200-000007000000}" name="Raw Reported Value"/>
    <tableColumn id="8" xr3:uid="{00000000-0010-0000-0200-000008000000}" name="Mapped Phase 3 Account"/>
    <tableColumn id="9" xr3:uid="{00000000-0010-0000-0200-000009000000}" name="Mapped / Supporting Value"/>
    <tableColumn id="10" xr3:uid="{00000000-0010-0000-0200-00000A000000}" name="Adjustment / Mapping Rule"/>
    <tableColumn id="11" xr3:uid="{00000000-0010-0000-0200-00000B000000}" name="Structural Break Flag"/>
    <tableColumn id="12" xr3:uid="{00000000-0010-0000-0200-00000C000000}" name="Comparability Note"/>
    <tableColumn id="13" xr3:uid="{00000000-0010-0000-0200-00000D000000}" name="Source Document"/>
    <tableColumn id="14" xr3:uid="{00000000-0010-0000-0200-00000E000000}" name="Source Note / Page"/>
    <tableColumn id="15" xr3:uid="{00000000-0010-0000-0200-00000F000000}" name="Source URL"/>
    <tableColumn id="16" xr3:uid="{00000000-0010-0000-0200-000010000000}" name="Source 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CGIRawDataTbl" displayName="CGIRawDataTbl" ref="A4:P110" totalsRowShown="0">
  <tableColumns count="16">
    <tableColumn id="1" xr3:uid="{00000000-0010-0000-0300-000001000000}" name="Fiscal Year"/>
    <tableColumn id="2" xr3:uid="{00000000-0010-0000-0300-000002000000}" name="Fiscal Year-End Date"/>
    <tableColumn id="3" xr3:uid="{00000000-0010-0000-0300-000003000000}" name="Reporting Currency"/>
    <tableColumn id="4" xr3:uid="{00000000-0010-0000-0300-000004000000}" name="Units"/>
    <tableColumn id="5" xr3:uid="{00000000-0010-0000-0300-000005000000}" name="Record Type"/>
    <tableColumn id="6" xr3:uid="{00000000-0010-0000-0300-000006000000}" name="Reported Account Name"/>
    <tableColumn id="7" xr3:uid="{00000000-0010-0000-0300-000007000000}" name="Raw Reported Value"/>
    <tableColumn id="8" xr3:uid="{00000000-0010-0000-0300-000008000000}" name="Mapped Phase 3 Account"/>
    <tableColumn id="9" xr3:uid="{00000000-0010-0000-0300-000009000000}" name="Mapped / Supporting Value"/>
    <tableColumn id="10" xr3:uid="{00000000-0010-0000-0300-00000A000000}" name="Adjustment / Mapping Rule"/>
    <tableColumn id="11" xr3:uid="{00000000-0010-0000-0300-00000B000000}" name="Structural Break Flag"/>
    <tableColumn id="12" xr3:uid="{00000000-0010-0000-0300-00000C000000}" name="Comparability Note"/>
    <tableColumn id="13" xr3:uid="{00000000-0010-0000-0300-00000D000000}" name="Source Document"/>
    <tableColumn id="14" xr3:uid="{00000000-0010-0000-0300-00000E000000}" name="Source Note / Page"/>
    <tableColumn id="15" xr3:uid="{00000000-0010-0000-0300-00000F000000}" name="Source URL"/>
    <tableColumn id="16" xr3:uid="{00000000-0010-0000-0300-000010000000}" name="Source Typ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CSRawDataTbl" displayName="TCSRawDataTbl" ref="A4:P84" totalsRowShown="0">
  <tableColumns count="16">
    <tableColumn id="1" xr3:uid="{00000000-0010-0000-0400-000001000000}" name="Fiscal Year"/>
    <tableColumn id="2" xr3:uid="{00000000-0010-0000-0400-000002000000}" name="Fiscal Year-End Date"/>
    <tableColumn id="3" xr3:uid="{00000000-0010-0000-0400-000003000000}" name="Reporting Currency"/>
    <tableColumn id="4" xr3:uid="{00000000-0010-0000-0400-000004000000}" name="Units"/>
    <tableColumn id="5" xr3:uid="{00000000-0010-0000-0400-000005000000}" name="Record Type"/>
    <tableColumn id="6" xr3:uid="{00000000-0010-0000-0400-000006000000}" name="Reported Account Name"/>
    <tableColumn id="7" xr3:uid="{00000000-0010-0000-0400-000007000000}" name="Raw Reported Value"/>
    <tableColumn id="8" xr3:uid="{00000000-0010-0000-0400-000008000000}" name="Mapped Phase 3 Account"/>
    <tableColumn id="9" xr3:uid="{00000000-0010-0000-0400-000009000000}" name="Mapped / Supporting Value"/>
    <tableColumn id="10" xr3:uid="{00000000-0010-0000-0400-00000A000000}" name="Adjustment / Mapping Rule"/>
    <tableColumn id="11" xr3:uid="{00000000-0010-0000-0400-00000B000000}" name="Structural Break Flag"/>
    <tableColumn id="12" xr3:uid="{00000000-0010-0000-0400-00000C000000}" name="Comparability Note"/>
    <tableColumn id="13" xr3:uid="{00000000-0010-0000-0400-00000D000000}" name="Source Document"/>
    <tableColumn id="14" xr3:uid="{00000000-0010-0000-0400-00000E000000}" name="Source Note / Page"/>
    <tableColumn id="15" xr3:uid="{00000000-0010-0000-0400-00000F000000}" name="Source URL"/>
    <tableColumn id="16" xr3:uid="{00000000-0010-0000-0400-000010000000}" name="Source 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djustMappingTbl" displayName="AdjustMappingTbl" ref="A4:H19" totalsRowShown="0">
  <tableColumns count="8">
    <tableColumn id="1" xr3:uid="{00000000-0010-0000-0500-000001000000}" name="Company"/>
    <tableColumn id="2" xr3:uid="{00000000-0010-0000-0500-000002000000}" name="Reported Account / Components"/>
    <tableColumn id="3" xr3:uid="{00000000-0010-0000-0500-000003000000}" name="Phase 3 Account"/>
    <tableColumn id="4" xr3:uid="{00000000-0010-0000-0500-000004000000}" name="Adjustment / Mapping"/>
    <tableColumn id="5" xr3:uid="{00000000-0010-0000-0500-000005000000}" name="Formula-Driven?"/>
    <tableColumn id="6" xr3:uid="{00000000-0010-0000-0500-000006000000}" name="Accounting Rationale"/>
    <tableColumn id="7" xr3:uid="{00000000-0010-0000-0500-000007000000}" name="Step 1 Status"/>
    <tableColumn id="8" xr3:uid="{00000000-0010-0000-0500-000008000000}" name="Step 2 Find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lagsTbl" displayName="FlagsTbl" ref="A4:H12" totalsRowShown="0">
  <tableColumns count="8">
    <tableColumn id="1" xr3:uid="{00000000-0010-0000-0600-000001000000}" name="Company"/>
    <tableColumn id="2" xr3:uid="{00000000-0010-0000-0600-000002000000}" name="Fiscal Year"/>
    <tableColumn id="3" xr3:uid="{00000000-0010-0000-0600-000003000000}" name="Issue"/>
    <tableColumn id="4" xr3:uid="{00000000-0010-0000-0600-000004000000}" name="Type"/>
    <tableColumn id="5" xr3:uid="{00000000-0010-0000-0600-000005000000}" name="Severity"/>
    <tableColumn id="6" xr3:uid="{00000000-0010-0000-0600-000006000000}" name="Affected Accounts"/>
    <tableColumn id="7" xr3:uid="{00000000-0010-0000-0600-000007000000}" name="Treatment"/>
    <tableColumn id="8" xr3:uid="{00000000-0010-0000-0600-000008000000}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ourcesTbl" displayName="SourcesTbl" ref="A4:J23" totalsRowShown="0">
  <tableColumns count="10">
    <tableColumn id="1" xr3:uid="{00000000-0010-0000-0700-000001000000}" name="Source ID"/>
    <tableColumn id="2" xr3:uid="{00000000-0010-0000-0700-000002000000}" name="Company"/>
    <tableColumn id="3" xr3:uid="{00000000-0010-0000-0700-000003000000}" name="Fiscal Year(s) Supported"/>
    <tableColumn id="4" xr3:uid="{00000000-0010-0000-0700-000004000000}" name="Document Name"/>
    <tableColumn id="5" xr3:uid="{00000000-0010-0000-0700-000005000000}" name="Publication Date"/>
    <tableColumn id="6" xr3:uid="{00000000-0010-0000-0700-000006000000}" name="Document Type"/>
    <tableColumn id="7" xr3:uid="{00000000-0010-0000-0700-000007000000}" name="Accounts / Data Supported"/>
    <tableColumn id="8" xr3:uid="{00000000-0010-0000-0700-000008000000}" name="Page / Note"/>
    <tableColumn id="9" xr3:uid="{00000000-0010-0000-0700-000009000000}" name="URL"/>
    <tableColumn id="10" xr3:uid="{00000000-0010-0000-0700-00000A000000}" name="Classifica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8000000}" name="CompletenessTbl" displayName="CompletenessTbl" ref="A4:I17" totalsRowShown="0">
  <tableColumns count="9">
    <tableColumn id="1" xr3:uid="{00000000-0010-0000-0800-000001000000}" name="Input / Account"/>
    <tableColumn id="2" xr3:uid="{00000000-0010-0000-0800-000002000000}" name="Accenture"/>
    <tableColumn id="3" xr3:uid="{00000000-0010-0000-0800-000003000000}" name="Accenture Note"/>
    <tableColumn id="4" xr3:uid="{00000000-0010-0000-0800-000004000000}" name="Capgemini"/>
    <tableColumn id="5" xr3:uid="{00000000-0010-0000-0800-000005000000}" name="Capgemini Note"/>
    <tableColumn id="6" xr3:uid="{00000000-0010-0000-0800-000006000000}" name="CGI"/>
    <tableColumn id="7" xr3:uid="{00000000-0010-0000-0800-000007000000}" name="CGI Note"/>
    <tableColumn id="8" xr3:uid="{00000000-0010-0000-0800-000008000000}" name="TCS"/>
    <tableColumn id="9" xr3:uid="{00000000-0010-0000-0800-000009000000}" name="TCS 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ConsolidatedPeerRawTbl" displayName="ConsolidatedPeerRawTbl" ref="A4:T28" totalsRowShown="0">
  <tableColumns count="20">
    <tableColumn id="1" xr3:uid="{00000000-0010-0000-0900-000001000000}" name="Company"/>
    <tableColumn id="2" xr3:uid="{00000000-0010-0000-0900-000002000000}" name="Fiscal Year"/>
    <tableColumn id="3" xr3:uid="{00000000-0010-0000-0900-000003000000}" name="Fiscal Year-End"/>
    <tableColumn id="4" xr3:uid="{00000000-0010-0000-0900-000004000000}" name="Currency"/>
    <tableColumn id="5" xr3:uid="{00000000-0010-0000-0900-000005000000}" name="Units"/>
    <tableColumn id="6" xr3:uid="{00000000-0010-0000-0900-000006000000}" name="Revenue"/>
    <tableColumn id="7" xr3:uid="{00000000-0010-0000-0900-000007000000}" name="Cost Base"/>
    <tableColumn id="8" xr3:uid="{00000000-0010-0000-0900-000008000000}" name="Trade Receivables"/>
    <tableColumn id="9" xr3:uid="{00000000-0010-0000-0900-000009000000}" name="Contract Assets"/>
    <tableColumn id="10" xr3:uid="{00000000-0010-0000-0900-00000A000000}" name="Inventory"/>
    <tableColumn id="11" xr3:uid="{00000000-0010-0000-0900-00000B000000}" name="Trade Payables"/>
    <tableColumn id="12" xr3:uid="{00000000-0010-0000-0900-00000C000000}" name="Contract Liabilities"/>
    <tableColumn id="13" xr3:uid="{00000000-0010-0000-0900-00000D000000}" name="Operating Cash Flow"/>
    <tableColumn id="14" xr3:uid="{00000000-0010-0000-0900-00000E000000}" name="Operating Profit"/>
    <tableColumn id="15" xr3:uid="{00000000-0010-0000-0900-00000F000000}" name="Depreciation"/>
    <tableColumn id="16" xr3:uid="{00000000-0010-0000-0900-000010000000}" name="Amortization"/>
    <tableColumn id="17" xr3:uid="{00000000-0010-0000-0900-000011000000}" name="D&amp;A Combined"/>
    <tableColumn id="18" xr3:uid="{00000000-0010-0000-0900-000012000000}" name="Net Income"/>
    <tableColumn id="19" xr3:uid="{00000000-0010-0000-0900-000013000000}" name="Structural Break / Caution"/>
    <tableColumn id="20" xr3:uid="{00000000-0010-0000-0900-000014000000}" name="Data Quality 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1"/>
    </sheetView>
  </sheetViews>
  <sheetFormatPr defaultRowHeight="14"/>
  <cols>
    <col min="1" max="1" width="25" customWidth="1"/>
    <col min="2" max="2" width="105" customWidth="1"/>
  </cols>
  <sheetData>
    <row r="1" spans="1:10" ht="17.399999999999999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6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5.4" customHeight="1">
      <c r="A4" s="7" t="s">
        <v>2</v>
      </c>
      <c r="B4" s="8" t="s">
        <v>3</v>
      </c>
    </row>
    <row r="5" spans="1:10" ht="25.4" customHeight="1">
      <c r="A5" s="7" t="s">
        <v>4</v>
      </c>
      <c r="B5" s="8" t="s">
        <v>5</v>
      </c>
    </row>
    <row r="6" spans="1:10" ht="25.4" customHeight="1">
      <c r="A6" s="7" t="s">
        <v>6</v>
      </c>
      <c r="B6" s="8" t="s">
        <v>7</v>
      </c>
    </row>
    <row r="7" spans="1:10" ht="25.4" customHeight="1">
      <c r="A7" s="7" t="s">
        <v>8</v>
      </c>
      <c r="B7" s="8" t="s">
        <v>9</v>
      </c>
    </row>
    <row r="8" spans="1:10" ht="25.4" customHeight="1">
      <c r="A8" s="7" t="s">
        <v>10</v>
      </c>
      <c r="B8" s="8" t="s">
        <v>11</v>
      </c>
    </row>
    <row r="9" spans="1:10" ht="25.4" customHeight="1">
      <c r="A9" s="7" t="s">
        <v>12</v>
      </c>
      <c r="B9" s="8" t="s">
        <v>13</v>
      </c>
    </row>
    <row r="10" spans="1:10" ht="25.4" customHeight="1">
      <c r="A10" s="7" t="s">
        <v>14</v>
      </c>
      <c r="B10" s="8" t="s">
        <v>15</v>
      </c>
    </row>
    <row r="11" spans="1:10" ht="25.4" customHeight="1">
      <c r="A11" s="7" t="s">
        <v>16</v>
      </c>
      <c r="B11" s="8" t="s">
        <v>17</v>
      </c>
    </row>
    <row r="12" spans="1:10" ht="25.4" customHeight="1">
      <c r="A12" s="7" t="s">
        <v>18</v>
      </c>
      <c r="B12" s="8" t="s">
        <v>19</v>
      </c>
    </row>
    <row r="13" spans="1:10" ht="25.4" customHeight="1">
      <c r="A13" s="7" t="s">
        <v>20</v>
      </c>
      <c r="B13" s="8" t="s">
        <v>21</v>
      </c>
    </row>
    <row r="14" spans="1:10" ht="25.4" customHeight="1">
      <c r="A14" s="7" t="s">
        <v>22</v>
      </c>
      <c r="B14" s="8" t="s">
        <v>23</v>
      </c>
    </row>
    <row r="15" spans="1:10" ht="25.4" customHeight="1">
      <c r="A15" s="7" t="s">
        <v>24</v>
      </c>
      <c r="B15" s="8" t="s">
        <v>25</v>
      </c>
    </row>
    <row r="16" spans="1:10" ht="25.4" customHeight="1">
      <c r="A16" s="7" t="s">
        <v>26</v>
      </c>
      <c r="B16" s="8" t="s">
        <v>27</v>
      </c>
    </row>
    <row r="17" spans="1:2" ht="25.4" customHeight="1">
      <c r="A17" s="7" t="s">
        <v>28</v>
      </c>
      <c r="B17" s="8" t="s">
        <v>29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zoomScale="67" workbookViewId="0">
      <selection sqref="A1:J1"/>
    </sheetView>
  </sheetViews>
  <sheetFormatPr defaultRowHeight="14"/>
  <cols>
    <col min="1" max="1" width="16" customWidth="1"/>
    <col min="2" max="2" width="13" customWidth="1"/>
    <col min="3" max="3" width="10" customWidth="1"/>
    <col min="4" max="4" width="16" customWidth="1"/>
    <col min="5" max="5" width="18" customWidth="1"/>
    <col min="6" max="6" width="17" customWidth="1"/>
    <col min="7" max="8" width="20" customWidth="1"/>
    <col min="9" max="9" width="42" customWidth="1"/>
    <col min="10" max="10" width="34" customWidth="1"/>
  </cols>
  <sheetData>
    <row r="1" spans="1:10" ht="17.399999999999999" customHeight="1">
      <c r="A1" s="13" t="s">
        <v>30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6" customHeight="1">
      <c r="A2" s="14" t="s">
        <v>31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0" customHeight="1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38</v>
      </c>
      <c r="H4" s="1" t="s">
        <v>39</v>
      </c>
      <c r="I4" s="1" t="s">
        <v>40</v>
      </c>
      <c r="J4" s="1" t="s">
        <v>41</v>
      </c>
    </row>
    <row r="5" spans="1:10" ht="28">
      <c r="A5" s="9" t="s">
        <v>42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47</v>
      </c>
      <c r="G5" s="9" t="s">
        <v>48</v>
      </c>
      <c r="H5" s="9" t="s">
        <v>49</v>
      </c>
      <c r="I5" s="9" t="s">
        <v>50</v>
      </c>
      <c r="J5" s="9" t="s">
        <v>51</v>
      </c>
    </row>
    <row r="6" spans="1:10" ht="28">
      <c r="A6" s="9" t="s">
        <v>52</v>
      </c>
      <c r="B6" s="9" t="s">
        <v>53</v>
      </c>
      <c r="C6" s="9" t="s">
        <v>54</v>
      </c>
      <c r="D6" s="9" t="s">
        <v>55</v>
      </c>
      <c r="E6" s="9" t="s">
        <v>56</v>
      </c>
      <c r="F6" s="9" t="s">
        <v>57</v>
      </c>
      <c r="G6" s="9" t="s">
        <v>58</v>
      </c>
      <c r="H6" s="9" t="s">
        <v>49</v>
      </c>
      <c r="I6" s="9" t="s">
        <v>59</v>
      </c>
      <c r="J6" s="9" t="s">
        <v>51</v>
      </c>
    </row>
    <row r="7" spans="1:10">
      <c r="A7" s="9" t="s">
        <v>60</v>
      </c>
      <c r="B7" s="9" t="s">
        <v>61</v>
      </c>
      <c r="C7" s="9" t="s">
        <v>62</v>
      </c>
      <c r="D7" s="9" t="s">
        <v>63</v>
      </c>
      <c r="E7" s="9" t="s">
        <v>56</v>
      </c>
      <c r="F7" s="9" t="s">
        <v>47</v>
      </c>
      <c r="G7" s="9" t="s">
        <v>48</v>
      </c>
      <c r="H7" s="9" t="s">
        <v>49</v>
      </c>
      <c r="I7" s="9" t="s">
        <v>64</v>
      </c>
      <c r="J7" s="9" t="s">
        <v>65</v>
      </c>
    </row>
    <row r="8" spans="1:10" ht="28">
      <c r="A8" s="9" t="s">
        <v>66</v>
      </c>
      <c r="B8" s="9" t="s">
        <v>67</v>
      </c>
      <c r="C8" s="9" t="s">
        <v>68</v>
      </c>
      <c r="D8" s="9" t="s">
        <v>69</v>
      </c>
      <c r="E8" s="9" t="s">
        <v>70</v>
      </c>
      <c r="F8" s="9" t="s">
        <v>71</v>
      </c>
      <c r="G8" s="9" t="s">
        <v>72</v>
      </c>
      <c r="H8" s="9" t="s">
        <v>73</v>
      </c>
      <c r="I8" s="9" t="s">
        <v>74</v>
      </c>
      <c r="J8" s="9" t="s">
        <v>75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8"/>
  <sheetViews>
    <sheetView workbookViewId="0">
      <selection sqref="A1:P1"/>
    </sheetView>
  </sheetViews>
  <sheetFormatPr defaultRowHeight="14"/>
  <cols>
    <col min="1" max="1" width="10" customWidth="1"/>
    <col min="2" max="2" width="14" customWidth="1"/>
    <col min="3" max="3" width="12" customWidth="1"/>
    <col min="4" max="4" width="13" customWidth="1"/>
    <col min="5" max="5" width="16" customWidth="1"/>
    <col min="6" max="6" width="31" customWidth="1"/>
    <col min="7" max="7" width="17" customWidth="1"/>
    <col min="8" max="8" width="26" customWidth="1"/>
    <col min="9" max="9" width="19" customWidth="1"/>
    <col min="10" max="10" width="36" customWidth="1"/>
    <col min="11" max="11" width="15" customWidth="1"/>
    <col min="12" max="12" width="46" customWidth="1"/>
    <col min="13" max="13" width="30" customWidth="1"/>
    <col min="14" max="14" width="28" customWidth="1"/>
    <col min="15" max="15" width="44" customWidth="1"/>
    <col min="16" max="16" width="12" customWidth="1"/>
  </cols>
  <sheetData>
    <row r="1" spans="1:16" ht="17.399999999999999" customHeight="1">
      <c r="A1" s="13" t="s">
        <v>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16" customHeight="1">
      <c r="A2" s="14" t="s">
        <v>77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4" spans="1:16" ht="20" customHeight="1">
      <c r="A4" s="1" t="s">
        <v>78</v>
      </c>
      <c r="B4" s="1" t="s">
        <v>79</v>
      </c>
      <c r="C4" s="1" t="s">
        <v>80</v>
      </c>
      <c r="D4" s="1" t="s">
        <v>35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92</v>
      </c>
    </row>
    <row r="5" spans="1:16" ht="23">
      <c r="A5" s="2" t="s">
        <v>93</v>
      </c>
      <c r="B5" s="5">
        <v>44074</v>
      </c>
      <c r="C5" s="2" t="s">
        <v>44</v>
      </c>
      <c r="D5" s="2" t="s">
        <v>45</v>
      </c>
      <c r="E5" s="2" t="s">
        <v>94</v>
      </c>
      <c r="F5" s="2" t="s">
        <v>95</v>
      </c>
      <c r="G5" s="3">
        <v>7192110</v>
      </c>
      <c r="H5" s="2" t="s">
        <v>95</v>
      </c>
      <c r="I5" s="4">
        <f t="shared" ref="I5:I10" si="0">G5</f>
        <v>7192110</v>
      </c>
      <c r="J5" s="2" t="s">
        <v>96</v>
      </c>
      <c r="K5" s="2" t="s">
        <v>97</v>
      </c>
      <c r="L5" s="2" t="s">
        <v>98</v>
      </c>
      <c r="M5" s="2" t="s">
        <v>99</v>
      </c>
      <c r="N5" s="2" t="s">
        <v>100</v>
      </c>
      <c r="O5" s="6" t="s">
        <v>101</v>
      </c>
      <c r="P5" s="2" t="s">
        <v>102</v>
      </c>
    </row>
    <row r="6" spans="1:16" ht="23">
      <c r="A6" s="2" t="s">
        <v>93</v>
      </c>
      <c r="B6" s="5">
        <v>44074</v>
      </c>
      <c r="C6" s="2" t="s">
        <v>44</v>
      </c>
      <c r="D6" s="2" t="s">
        <v>45</v>
      </c>
      <c r="E6" s="2" t="s">
        <v>94</v>
      </c>
      <c r="F6" s="2" t="s">
        <v>103</v>
      </c>
      <c r="G6" s="3">
        <v>654782</v>
      </c>
      <c r="H6" s="2" t="s">
        <v>104</v>
      </c>
      <c r="I6" s="4">
        <f t="shared" si="0"/>
        <v>654782</v>
      </c>
      <c r="J6" s="2" t="s">
        <v>105</v>
      </c>
      <c r="K6" s="2" t="s">
        <v>97</v>
      </c>
      <c r="L6" s="2" t="s">
        <v>98</v>
      </c>
      <c r="M6" s="2" t="s">
        <v>99</v>
      </c>
      <c r="N6" s="2" t="s">
        <v>100</v>
      </c>
      <c r="O6" s="6" t="s">
        <v>101</v>
      </c>
      <c r="P6" s="2" t="s">
        <v>102</v>
      </c>
    </row>
    <row r="7" spans="1:16" ht="23">
      <c r="A7" s="2" t="s">
        <v>93</v>
      </c>
      <c r="B7" s="5">
        <v>44074</v>
      </c>
      <c r="C7" s="2" t="s">
        <v>44</v>
      </c>
      <c r="D7" s="2" t="s">
        <v>45</v>
      </c>
      <c r="E7" s="2" t="s">
        <v>94</v>
      </c>
      <c r="F7" s="2" t="s">
        <v>106</v>
      </c>
      <c r="G7" s="3">
        <v>43257</v>
      </c>
      <c r="H7" s="2" t="s">
        <v>107</v>
      </c>
      <c r="I7" s="4">
        <f t="shared" si="0"/>
        <v>43257</v>
      </c>
      <c r="J7" s="2" t="s">
        <v>105</v>
      </c>
      <c r="K7" s="2" t="s">
        <v>97</v>
      </c>
      <c r="L7" s="2" t="s">
        <v>98</v>
      </c>
      <c r="M7" s="2" t="s">
        <v>99</v>
      </c>
      <c r="N7" s="2" t="s">
        <v>100</v>
      </c>
      <c r="O7" s="6" t="s">
        <v>101</v>
      </c>
      <c r="P7" s="2" t="s">
        <v>102</v>
      </c>
    </row>
    <row r="8" spans="1:16" ht="23">
      <c r="A8" s="2" t="s">
        <v>93</v>
      </c>
      <c r="B8" s="5">
        <v>44074</v>
      </c>
      <c r="C8" s="2" t="s">
        <v>44</v>
      </c>
      <c r="D8" s="2" t="s">
        <v>45</v>
      </c>
      <c r="E8" s="2" t="s">
        <v>94</v>
      </c>
      <c r="F8" s="2" t="s">
        <v>108</v>
      </c>
      <c r="G8" s="3">
        <v>1349874</v>
      </c>
      <c r="H8" s="2" t="s">
        <v>108</v>
      </c>
      <c r="I8" s="4">
        <f t="shared" si="0"/>
        <v>1349874</v>
      </c>
      <c r="J8" s="2" t="s">
        <v>109</v>
      </c>
      <c r="K8" s="2" t="s">
        <v>97</v>
      </c>
      <c r="L8" s="2" t="s">
        <v>98</v>
      </c>
      <c r="M8" s="2" t="s">
        <v>99</v>
      </c>
      <c r="N8" s="2" t="s">
        <v>100</v>
      </c>
      <c r="O8" s="6" t="s">
        <v>101</v>
      </c>
      <c r="P8" s="2" t="s">
        <v>102</v>
      </c>
    </row>
    <row r="9" spans="1:16" ht="23">
      <c r="A9" s="2" t="s">
        <v>93</v>
      </c>
      <c r="B9" s="5">
        <v>44074</v>
      </c>
      <c r="C9" s="2" t="s">
        <v>44</v>
      </c>
      <c r="D9" s="2" t="s">
        <v>45</v>
      </c>
      <c r="E9" s="2" t="s">
        <v>94</v>
      </c>
      <c r="F9" s="2" t="s">
        <v>110</v>
      </c>
      <c r="G9" s="3">
        <v>3636741</v>
      </c>
      <c r="H9" s="2" t="s">
        <v>111</v>
      </c>
      <c r="I9" s="4">
        <f t="shared" si="0"/>
        <v>3636741</v>
      </c>
      <c r="J9" s="2" t="s">
        <v>112</v>
      </c>
      <c r="K9" s="2" t="s">
        <v>97</v>
      </c>
      <c r="L9" s="2" t="s">
        <v>98</v>
      </c>
      <c r="M9" s="2" t="s">
        <v>99</v>
      </c>
      <c r="N9" s="2" t="s">
        <v>100</v>
      </c>
      <c r="O9" s="6" t="s">
        <v>101</v>
      </c>
      <c r="P9" s="2" t="s">
        <v>102</v>
      </c>
    </row>
    <row r="10" spans="1:16" ht="23">
      <c r="A10" s="2" t="s">
        <v>93</v>
      </c>
      <c r="B10" s="5">
        <v>44074</v>
      </c>
      <c r="C10" s="2" t="s">
        <v>44</v>
      </c>
      <c r="D10" s="2" t="s">
        <v>45</v>
      </c>
      <c r="E10" s="2" t="s">
        <v>94</v>
      </c>
      <c r="F10" s="2" t="s">
        <v>113</v>
      </c>
      <c r="G10" s="3">
        <v>690931</v>
      </c>
      <c r="H10" s="2" t="s">
        <v>114</v>
      </c>
      <c r="I10" s="4">
        <f t="shared" si="0"/>
        <v>690931</v>
      </c>
      <c r="J10" s="2" t="s">
        <v>112</v>
      </c>
      <c r="K10" s="2" t="s">
        <v>97</v>
      </c>
      <c r="L10" s="2" t="s">
        <v>98</v>
      </c>
      <c r="M10" s="2" t="s">
        <v>99</v>
      </c>
      <c r="N10" s="2" t="s">
        <v>100</v>
      </c>
      <c r="O10" s="6" t="s">
        <v>101</v>
      </c>
      <c r="P10" s="2" t="s">
        <v>102</v>
      </c>
    </row>
    <row r="11" spans="1:16" ht="23">
      <c r="A11" s="2" t="s">
        <v>93</v>
      </c>
      <c r="B11" s="5">
        <v>44074</v>
      </c>
      <c r="C11" s="2" t="s">
        <v>44</v>
      </c>
      <c r="D11" s="2" t="s">
        <v>45</v>
      </c>
      <c r="E11" s="2" t="s">
        <v>115</v>
      </c>
      <c r="F11" s="2" t="s">
        <v>116</v>
      </c>
      <c r="G11" s="3"/>
      <c r="H11" s="2" t="s">
        <v>117</v>
      </c>
      <c r="I11" s="4">
        <f>G6+G7</f>
        <v>698039</v>
      </c>
      <c r="J11" s="2" t="s">
        <v>118</v>
      </c>
      <c r="K11" s="2" t="s">
        <v>97</v>
      </c>
      <c r="L11" s="2" t="s">
        <v>119</v>
      </c>
      <c r="M11" s="2" t="s">
        <v>99</v>
      </c>
      <c r="N11" s="2" t="s">
        <v>120</v>
      </c>
      <c r="O11" s="6" t="s">
        <v>101</v>
      </c>
      <c r="P11" s="2" t="s">
        <v>102</v>
      </c>
    </row>
    <row r="12" spans="1:16" ht="23">
      <c r="A12" s="2" t="s">
        <v>93</v>
      </c>
      <c r="B12" s="5">
        <v>44074</v>
      </c>
      <c r="C12" s="2" t="s">
        <v>44</v>
      </c>
      <c r="D12" s="2" t="s">
        <v>45</v>
      </c>
      <c r="E12" s="2" t="s">
        <v>115</v>
      </c>
      <c r="F12" s="2" t="s">
        <v>121</v>
      </c>
      <c r="G12" s="3"/>
      <c r="H12" s="2" t="s">
        <v>122</v>
      </c>
      <c r="I12" s="4">
        <f>G9+G10</f>
        <v>4327672</v>
      </c>
      <c r="J12" s="2" t="s">
        <v>123</v>
      </c>
      <c r="K12" s="2" t="s">
        <v>97</v>
      </c>
      <c r="L12" s="2" t="s">
        <v>124</v>
      </c>
      <c r="M12" s="2" t="s">
        <v>99</v>
      </c>
      <c r="N12" s="2" t="s">
        <v>125</v>
      </c>
      <c r="O12" s="6" t="s">
        <v>101</v>
      </c>
      <c r="P12" s="2" t="s">
        <v>102</v>
      </c>
    </row>
    <row r="13" spans="1:16" ht="23">
      <c r="A13" s="2" t="s">
        <v>126</v>
      </c>
      <c r="B13" s="5">
        <v>44439</v>
      </c>
      <c r="C13" s="2" t="s">
        <v>44</v>
      </c>
      <c r="D13" s="2" t="s">
        <v>45</v>
      </c>
      <c r="E13" s="2" t="s">
        <v>94</v>
      </c>
      <c r="F13" s="2" t="s">
        <v>95</v>
      </c>
      <c r="G13" s="3">
        <v>8796992</v>
      </c>
      <c r="H13" s="2" t="s">
        <v>95</v>
      </c>
      <c r="I13" s="4">
        <f t="shared" ref="I13:I18" si="1">G13</f>
        <v>8796992</v>
      </c>
      <c r="J13" s="2" t="s">
        <v>96</v>
      </c>
      <c r="K13" s="2" t="s">
        <v>97</v>
      </c>
      <c r="L13" s="2" t="s">
        <v>98</v>
      </c>
      <c r="M13" s="2" t="s">
        <v>99</v>
      </c>
      <c r="N13" s="2" t="s">
        <v>100</v>
      </c>
      <c r="O13" s="6" t="s">
        <v>101</v>
      </c>
      <c r="P13" s="2" t="s">
        <v>102</v>
      </c>
    </row>
    <row r="14" spans="1:16" ht="23">
      <c r="A14" s="2" t="s">
        <v>126</v>
      </c>
      <c r="B14" s="5">
        <v>44439</v>
      </c>
      <c r="C14" s="2" t="s">
        <v>44</v>
      </c>
      <c r="D14" s="2" t="s">
        <v>45</v>
      </c>
      <c r="E14" s="2" t="s">
        <v>94</v>
      </c>
      <c r="F14" s="2" t="s">
        <v>103</v>
      </c>
      <c r="G14" s="3">
        <v>931220</v>
      </c>
      <c r="H14" s="2" t="s">
        <v>104</v>
      </c>
      <c r="I14" s="4">
        <f t="shared" si="1"/>
        <v>931220</v>
      </c>
      <c r="J14" s="2" t="s">
        <v>105</v>
      </c>
      <c r="K14" s="2" t="s">
        <v>97</v>
      </c>
      <c r="L14" s="2" t="s">
        <v>98</v>
      </c>
      <c r="M14" s="2" t="s">
        <v>99</v>
      </c>
      <c r="N14" s="2" t="s">
        <v>100</v>
      </c>
      <c r="O14" s="6" t="s">
        <v>101</v>
      </c>
      <c r="P14" s="2" t="s">
        <v>102</v>
      </c>
    </row>
    <row r="15" spans="1:16" ht="23">
      <c r="A15" s="2" t="s">
        <v>126</v>
      </c>
      <c r="B15" s="5">
        <v>44439</v>
      </c>
      <c r="C15" s="2" t="s">
        <v>44</v>
      </c>
      <c r="D15" s="2" t="s">
        <v>45</v>
      </c>
      <c r="E15" s="2" t="s">
        <v>94</v>
      </c>
      <c r="F15" s="2" t="s">
        <v>106</v>
      </c>
      <c r="G15" s="3">
        <v>38334</v>
      </c>
      <c r="H15" s="2" t="s">
        <v>107</v>
      </c>
      <c r="I15" s="4">
        <f t="shared" si="1"/>
        <v>38334</v>
      </c>
      <c r="J15" s="2" t="s">
        <v>105</v>
      </c>
      <c r="K15" s="2" t="s">
        <v>97</v>
      </c>
      <c r="L15" s="2" t="s">
        <v>98</v>
      </c>
      <c r="M15" s="2" t="s">
        <v>99</v>
      </c>
      <c r="N15" s="2" t="s">
        <v>100</v>
      </c>
      <c r="O15" s="6" t="s">
        <v>101</v>
      </c>
      <c r="P15" s="2" t="s">
        <v>102</v>
      </c>
    </row>
    <row r="16" spans="1:16" ht="23">
      <c r="A16" s="2" t="s">
        <v>126</v>
      </c>
      <c r="B16" s="5">
        <v>44439</v>
      </c>
      <c r="C16" s="2" t="s">
        <v>44</v>
      </c>
      <c r="D16" s="2" t="s">
        <v>45</v>
      </c>
      <c r="E16" s="2" t="s">
        <v>94</v>
      </c>
      <c r="F16" s="2" t="s">
        <v>108</v>
      </c>
      <c r="G16" s="3">
        <v>2274057</v>
      </c>
      <c r="H16" s="2" t="s">
        <v>108</v>
      </c>
      <c r="I16" s="4">
        <f t="shared" si="1"/>
        <v>2274057</v>
      </c>
      <c r="J16" s="2" t="s">
        <v>109</v>
      </c>
      <c r="K16" s="2" t="s">
        <v>97</v>
      </c>
      <c r="L16" s="2" t="s">
        <v>98</v>
      </c>
      <c r="M16" s="2" t="s">
        <v>99</v>
      </c>
      <c r="N16" s="2" t="s">
        <v>100</v>
      </c>
      <c r="O16" s="6" t="s">
        <v>101</v>
      </c>
      <c r="P16" s="2" t="s">
        <v>102</v>
      </c>
    </row>
    <row r="17" spans="1:16" ht="23">
      <c r="A17" s="2" t="s">
        <v>126</v>
      </c>
      <c r="B17" s="5">
        <v>44439</v>
      </c>
      <c r="C17" s="2" t="s">
        <v>44</v>
      </c>
      <c r="D17" s="2" t="s">
        <v>45</v>
      </c>
      <c r="E17" s="2" t="s">
        <v>94</v>
      </c>
      <c r="F17" s="2" t="s">
        <v>110</v>
      </c>
      <c r="G17" s="3">
        <v>4229177</v>
      </c>
      <c r="H17" s="2" t="s">
        <v>111</v>
      </c>
      <c r="I17" s="4">
        <f t="shared" si="1"/>
        <v>4229177</v>
      </c>
      <c r="J17" s="2" t="s">
        <v>112</v>
      </c>
      <c r="K17" s="2" t="s">
        <v>97</v>
      </c>
      <c r="L17" s="2" t="s">
        <v>98</v>
      </c>
      <c r="M17" s="2" t="s">
        <v>99</v>
      </c>
      <c r="N17" s="2" t="s">
        <v>100</v>
      </c>
      <c r="O17" s="6" t="s">
        <v>101</v>
      </c>
      <c r="P17" s="2" t="s">
        <v>102</v>
      </c>
    </row>
    <row r="18" spans="1:16" ht="23">
      <c r="A18" s="2" t="s">
        <v>126</v>
      </c>
      <c r="B18" s="5">
        <v>44439</v>
      </c>
      <c r="C18" s="2" t="s">
        <v>44</v>
      </c>
      <c r="D18" s="2" t="s">
        <v>45</v>
      </c>
      <c r="E18" s="2" t="s">
        <v>94</v>
      </c>
      <c r="F18" s="2" t="s">
        <v>113</v>
      </c>
      <c r="G18" s="3">
        <v>700080</v>
      </c>
      <c r="H18" s="2" t="s">
        <v>114</v>
      </c>
      <c r="I18" s="4">
        <f t="shared" si="1"/>
        <v>700080</v>
      </c>
      <c r="J18" s="2" t="s">
        <v>112</v>
      </c>
      <c r="K18" s="2" t="s">
        <v>97</v>
      </c>
      <c r="L18" s="2" t="s">
        <v>98</v>
      </c>
      <c r="M18" s="2" t="s">
        <v>99</v>
      </c>
      <c r="N18" s="2" t="s">
        <v>100</v>
      </c>
      <c r="O18" s="6" t="s">
        <v>101</v>
      </c>
      <c r="P18" s="2" t="s">
        <v>102</v>
      </c>
    </row>
    <row r="19" spans="1:16" ht="23">
      <c r="A19" s="2" t="s">
        <v>126</v>
      </c>
      <c r="B19" s="5">
        <v>44439</v>
      </c>
      <c r="C19" s="2" t="s">
        <v>44</v>
      </c>
      <c r="D19" s="2" t="s">
        <v>45</v>
      </c>
      <c r="E19" s="2" t="s">
        <v>115</v>
      </c>
      <c r="F19" s="2" t="s">
        <v>116</v>
      </c>
      <c r="G19" s="3"/>
      <c r="H19" s="2" t="s">
        <v>117</v>
      </c>
      <c r="I19" s="4">
        <f>G14+G15</f>
        <v>969554</v>
      </c>
      <c r="J19" s="2" t="s">
        <v>118</v>
      </c>
      <c r="K19" s="2" t="s">
        <v>97</v>
      </c>
      <c r="L19" s="2" t="s">
        <v>119</v>
      </c>
      <c r="M19" s="2" t="s">
        <v>99</v>
      </c>
      <c r="N19" s="2" t="s">
        <v>120</v>
      </c>
      <c r="O19" s="6" t="s">
        <v>101</v>
      </c>
      <c r="P19" s="2" t="s">
        <v>102</v>
      </c>
    </row>
    <row r="20" spans="1:16" ht="23">
      <c r="A20" s="2" t="s">
        <v>126</v>
      </c>
      <c r="B20" s="5">
        <v>44439</v>
      </c>
      <c r="C20" s="2" t="s">
        <v>44</v>
      </c>
      <c r="D20" s="2" t="s">
        <v>45</v>
      </c>
      <c r="E20" s="2" t="s">
        <v>115</v>
      </c>
      <c r="F20" s="2" t="s">
        <v>121</v>
      </c>
      <c r="G20" s="3"/>
      <c r="H20" s="2" t="s">
        <v>122</v>
      </c>
      <c r="I20" s="4">
        <f>G17+G18</f>
        <v>4929257</v>
      </c>
      <c r="J20" s="2" t="s">
        <v>123</v>
      </c>
      <c r="K20" s="2" t="s">
        <v>97</v>
      </c>
      <c r="L20" s="2" t="s">
        <v>124</v>
      </c>
      <c r="M20" s="2" t="s">
        <v>99</v>
      </c>
      <c r="N20" s="2" t="s">
        <v>125</v>
      </c>
      <c r="O20" s="6" t="s">
        <v>101</v>
      </c>
      <c r="P20" s="2" t="s">
        <v>102</v>
      </c>
    </row>
    <row r="21" spans="1:16" ht="23">
      <c r="A21" s="2" t="s">
        <v>126</v>
      </c>
      <c r="B21" s="5">
        <v>44439</v>
      </c>
      <c r="C21" s="2" t="s">
        <v>44</v>
      </c>
      <c r="D21" s="2" t="s">
        <v>45</v>
      </c>
      <c r="E21" s="2" t="s">
        <v>94</v>
      </c>
      <c r="F21" s="2" t="s">
        <v>127</v>
      </c>
      <c r="G21" s="3">
        <v>50533389</v>
      </c>
      <c r="H21" s="2" t="s">
        <v>127</v>
      </c>
      <c r="I21" s="4">
        <f t="shared" ref="I21:I28" si="2">G21</f>
        <v>50533389</v>
      </c>
      <c r="J21" s="2" t="s">
        <v>128</v>
      </c>
      <c r="K21" s="2" t="s">
        <v>97</v>
      </c>
      <c r="L21" s="2" t="s">
        <v>129</v>
      </c>
      <c r="M21" s="2" t="s">
        <v>99</v>
      </c>
      <c r="N21" s="2" t="s">
        <v>130</v>
      </c>
      <c r="O21" s="6" t="s">
        <v>101</v>
      </c>
      <c r="P21" s="2" t="s">
        <v>102</v>
      </c>
    </row>
    <row r="22" spans="1:16" ht="23">
      <c r="A22" s="2" t="s">
        <v>126</v>
      </c>
      <c r="B22" s="5">
        <v>44439</v>
      </c>
      <c r="C22" s="2" t="s">
        <v>44</v>
      </c>
      <c r="D22" s="2" t="s">
        <v>45</v>
      </c>
      <c r="E22" s="2" t="s">
        <v>94</v>
      </c>
      <c r="F22" s="2" t="s">
        <v>131</v>
      </c>
      <c r="G22" s="3">
        <v>34169261</v>
      </c>
      <c r="H22" s="2" t="s">
        <v>132</v>
      </c>
      <c r="I22" s="4">
        <f t="shared" si="2"/>
        <v>34169261</v>
      </c>
      <c r="J22" s="2" t="s">
        <v>128</v>
      </c>
      <c r="K22" s="2" t="s">
        <v>97</v>
      </c>
      <c r="L22" s="2" t="s">
        <v>129</v>
      </c>
      <c r="M22" s="2" t="s">
        <v>99</v>
      </c>
      <c r="N22" s="2" t="s">
        <v>130</v>
      </c>
      <c r="O22" s="6" t="s">
        <v>101</v>
      </c>
      <c r="P22" s="2" t="s">
        <v>102</v>
      </c>
    </row>
    <row r="23" spans="1:16" ht="23">
      <c r="A23" s="2" t="s">
        <v>126</v>
      </c>
      <c r="B23" s="5">
        <v>44439</v>
      </c>
      <c r="C23" s="2" t="s">
        <v>44</v>
      </c>
      <c r="D23" s="2" t="s">
        <v>45</v>
      </c>
      <c r="E23" s="2" t="s">
        <v>94</v>
      </c>
      <c r="F23" s="2" t="s">
        <v>133</v>
      </c>
      <c r="G23" s="3">
        <v>7621529</v>
      </c>
      <c r="H23" s="2" t="s">
        <v>134</v>
      </c>
      <c r="I23" s="4">
        <f t="shared" si="2"/>
        <v>7621529</v>
      </c>
      <c r="J23" s="2" t="s">
        <v>128</v>
      </c>
      <c r="K23" s="2" t="s">
        <v>97</v>
      </c>
      <c r="L23" s="2" t="s">
        <v>129</v>
      </c>
      <c r="M23" s="2" t="s">
        <v>99</v>
      </c>
      <c r="N23" s="2" t="s">
        <v>130</v>
      </c>
      <c r="O23" s="6" t="s">
        <v>101</v>
      </c>
      <c r="P23" s="2" t="s">
        <v>102</v>
      </c>
    </row>
    <row r="24" spans="1:16" ht="23">
      <c r="A24" s="2" t="s">
        <v>126</v>
      </c>
      <c r="B24" s="5">
        <v>44439</v>
      </c>
      <c r="C24" s="2" t="s">
        <v>44</v>
      </c>
      <c r="D24" s="2" t="s">
        <v>45</v>
      </c>
      <c r="E24" s="2" t="s">
        <v>94</v>
      </c>
      <c r="F24" s="2" t="s">
        <v>135</v>
      </c>
      <c r="G24" s="3">
        <v>5990545</v>
      </c>
      <c r="H24" s="2" t="s">
        <v>135</v>
      </c>
      <c r="I24" s="4">
        <f t="shared" si="2"/>
        <v>5990545</v>
      </c>
      <c r="J24" s="2" t="s">
        <v>128</v>
      </c>
      <c r="K24" s="2" t="s">
        <v>97</v>
      </c>
      <c r="L24" s="2" t="s">
        <v>129</v>
      </c>
      <c r="M24" s="2" t="s">
        <v>99</v>
      </c>
      <c r="N24" s="2" t="s">
        <v>130</v>
      </c>
      <c r="O24" s="6" t="s">
        <v>101</v>
      </c>
      <c r="P24" s="2" t="s">
        <v>102</v>
      </c>
    </row>
    <row r="25" spans="1:16" ht="23">
      <c r="A25" s="2" t="s">
        <v>126</v>
      </c>
      <c r="B25" s="5">
        <v>44439</v>
      </c>
      <c r="C25" s="2" t="s">
        <v>44</v>
      </c>
      <c r="D25" s="2" t="s">
        <v>45</v>
      </c>
      <c r="E25" s="2" t="s">
        <v>94</v>
      </c>
      <c r="F25" s="2" t="s">
        <v>136</v>
      </c>
      <c r="G25" s="3">
        <v>8975148</v>
      </c>
      <c r="H25" s="2" t="s">
        <v>136</v>
      </c>
      <c r="I25" s="4">
        <f t="shared" si="2"/>
        <v>8975148</v>
      </c>
      <c r="J25" s="2" t="s">
        <v>128</v>
      </c>
      <c r="K25" s="2" t="s">
        <v>97</v>
      </c>
      <c r="L25" s="2" t="s">
        <v>129</v>
      </c>
      <c r="M25" s="2" t="s">
        <v>99</v>
      </c>
      <c r="N25" s="2" t="s">
        <v>130</v>
      </c>
      <c r="O25" s="6" t="s">
        <v>101</v>
      </c>
      <c r="P25" s="2" t="s">
        <v>102</v>
      </c>
    </row>
    <row r="26" spans="1:16" ht="23">
      <c r="A26" s="2" t="s">
        <v>126</v>
      </c>
      <c r="B26" s="5">
        <v>44439</v>
      </c>
      <c r="C26" s="2" t="s">
        <v>44</v>
      </c>
      <c r="D26" s="2" t="s">
        <v>45</v>
      </c>
      <c r="E26" s="2" t="s">
        <v>94</v>
      </c>
      <c r="F26" s="2" t="s">
        <v>137</v>
      </c>
      <c r="G26" s="3">
        <v>512051</v>
      </c>
      <c r="H26" s="2" t="s">
        <v>137</v>
      </c>
      <c r="I26" s="4">
        <f t="shared" si="2"/>
        <v>512051</v>
      </c>
      <c r="J26" s="2" t="s">
        <v>128</v>
      </c>
      <c r="K26" s="2" t="s">
        <v>97</v>
      </c>
      <c r="L26" s="2" t="s">
        <v>129</v>
      </c>
      <c r="M26" s="2" t="s">
        <v>99</v>
      </c>
      <c r="N26" s="2" t="s">
        <v>130</v>
      </c>
      <c r="O26" s="6" t="s">
        <v>101</v>
      </c>
      <c r="P26" s="2" t="s">
        <v>102</v>
      </c>
    </row>
    <row r="27" spans="1:16" ht="23">
      <c r="A27" s="2" t="s">
        <v>126</v>
      </c>
      <c r="B27" s="5">
        <v>44439</v>
      </c>
      <c r="C27" s="2" t="s">
        <v>44</v>
      </c>
      <c r="D27" s="2" t="s">
        <v>45</v>
      </c>
      <c r="E27" s="2" t="s">
        <v>94</v>
      </c>
      <c r="F27" s="2" t="s">
        <v>138</v>
      </c>
      <c r="G27" s="3">
        <v>297216</v>
      </c>
      <c r="H27" s="2" t="s">
        <v>139</v>
      </c>
      <c r="I27" s="4">
        <f t="shared" si="2"/>
        <v>297216</v>
      </c>
      <c r="J27" s="2" t="s">
        <v>128</v>
      </c>
      <c r="K27" s="2" t="s">
        <v>97</v>
      </c>
      <c r="L27" s="2" t="s">
        <v>129</v>
      </c>
      <c r="M27" s="2" t="s">
        <v>99</v>
      </c>
      <c r="N27" s="2" t="s">
        <v>130</v>
      </c>
      <c r="O27" s="6" t="s">
        <v>101</v>
      </c>
      <c r="P27" s="2" t="s">
        <v>102</v>
      </c>
    </row>
    <row r="28" spans="1:16" ht="23">
      <c r="A28" s="2" t="s">
        <v>126</v>
      </c>
      <c r="B28" s="5">
        <v>44439</v>
      </c>
      <c r="C28" s="2" t="s">
        <v>44</v>
      </c>
      <c r="D28" s="2" t="s">
        <v>45</v>
      </c>
      <c r="E28" s="2" t="s">
        <v>94</v>
      </c>
      <c r="F28" s="2" t="s">
        <v>140</v>
      </c>
      <c r="G28" s="3">
        <v>312706</v>
      </c>
      <c r="H28" s="2" t="s">
        <v>139</v>
      </c>
      <c r="I28" s="4">
        <f t="shared" si="2"/>
        <v>312706</v>
      </c>
      <c r="J28" s="2" t="s">
        <v>128</v>
      </c>
      <c r="K28" s="2" t="s">
        <v>97</v>
      </c>
      <c r="L28" s="2" t="s">
        <v>129</v>
      </c>
      <c r="M28" s="2" t="s">
        <v>99</v>
      </c>
      <c r="N28" s="2" t="s">
        <v>130</v>
      </c>
      <c r="O28" s="6" t="s">
        <v>101</v>
      </c>
      <c r="P28" s="2" t="s">
        <v>102</v>
      </c>
    </row>
    <row r="29" spans="1:16" ht="23">
      <c r="A29" s="2" t="s">
        <v>126</v>
      </c>
      <c r="B29" s="5">
        <v>44439</v>
      </c>
      <c r="C29" s="2" t="s">
        <v>44</v>
      </c>
      <c r="D29" s="2" t="s">
        <v>45</v>
      </c>
      <c r="E29" s="2" t="s">
        <v>141</v>
      </c>
      <c r="F29" s="2" t="s">
        <v>142</v>
      </c>
      <c r="G29" s="3"/>
      <c r="H29" s="2" t="s">
        <v>143</v>
      </c>
      <c r="I29" s="4">
        <f>G27+G28</f>
        <v>609922</v>
      </c>
      <c r="J29" s="2" t="s">
        <v>144</v>
      </c>
      <c r="K29" s="2" t="s">
        <v>97</v>
      </c>
      <c r="L29" s="2" t="s">
        <v>145</v>
      </c>
      <c r="M29" s="2" t="s">
        <v>99</v>
      </c>
      <c r="N29" s="2" t="s">
        <v>146</v>
      </c>
      <c r="O29" s="6" t="s">
        <v>101</v>
      </c>
      <c r="P29" s="2" t="s">
        <v>102</v>
      </c>
    </row>
    <row r="30" spans="1:16" ht="23">
      <c r="A30" s="2" t="s">
        <v>147</v>
      </c>
      <c r="B30" s="5">
        <v>44804</v>
      </c>
      <c r="C30" s="2" t="s">
        <v>44</v>
      </c>
      <c r="D30" s="2" t="s">
        <v>45</v>
      </c>
      <c r="E30" s="2" t="s">
        <v>94</v>
      </c>
      <c r="F30" s="2" t="s">
        <v>95</v>
      </c>
      <c r="G30" s="3">
        <v>10484211</v>
      </c>
      <c r="H30" s="2" t="s">
        <v>95</v>
      </c>
      <c r="I30" s="4">
        <f t="shared" ref="I30:I35" si="3">G30</f>
        <v>10484211</v>
      </c>
      <c r="J30" s="2" t="s">
        <v>96</v>
      </c>
      <c r="K30" s="2" t="s">
        <v>97</v>
      </c>
      <c r="L30" s="2" t="s">
        <v>98</v>
      </c>
      <c r="M30" s="2" t="s">
        <v>148</v>
      </c>
      <c r="N30" s="2" t="s">
        <v>100</v>
      </c>
      <c r="O30" s="6" t="s">
        <v>149</v>
      </c>
      <c r="P30" s="2" t="s">
        <v>102</v>
      </c>
    </row>
    <row r="31" spans="1:16" ht="23">
      <c r="A31" s="2" t="s">
        <v>147</v>
      </c>
      <c r="B31" s="5">
        <v>44804</v>
      </c>
      <c r="C31" s="2" t="s">
        <v>44</v>
      </c>
      <c r="D31" s="2" t="s">
        <v>45</v>
      </c>
      <c r="E31" s="2" t="s">
        <v>94</v>
      </c>
      <c r="F31" s="2" t="s">
        <v>103</v>
      </c>
      <c r="G31" s="3">
        <v>1292564</v>
      </c>
      <c r="H31" s="2" t="s">
        <v>104</v>
      </c>
      <c r="I31" s="4">
        <f t="shared" si="3"/>
        <v>1292564</v>
      </c>
      <c r="J31" s="2" t="s">
        <v>105</v>
      </c>
      <c r="K31" s="2" t="s">
        <v>97</v>
      </c>
      <c r="L31" s="2" t="s">
        <v>98</v>
      </c>
      <c r="M31" s="2" t="s">
        <v>148</v>
      </c>
      <c r="N31" s="2" t="s">
        <v>100</v>
      </c>
      <c r="O31" s="6" t="s">
        <v>149</v>
      </c>
      <c r="P31" s="2" t="s">
        <v>102</v>
      </c>
    </row>
    <row r="32" spans="1:16" ht="23">
      <c r="A32" s="2" t="s">
        <v>147</v>
      </c>
      <c r="B32" s="5">
        <v>44804</v>
      </c>
      <c r="C32" s="2" t="s">
        <v>44</v>
      </c>
      <c r="D32" s="2" t="s">
        <v>45</v>
      </c>
      <c r="E32" s="2" t="s">
        <v>94</v>
      </c>
      <c r="F32" s="2" t="s">
        <v>106</v>
      </c>
      <c r="G32" s="3">
        <v>46844</v>
      </c>
      <c r="H32" s="2" t="s">
        <v>107</v>
      </c>
      <c r="I32" s="4">
        <f t="shared" si="3"/>
        <v>46844</v>
      </c>
      <c r="J32" s="2" t="s">
        <v>105</v>
      </c>
      <c r="K32" s="2" t="s">
        <v>97</v>
      </c>
      <c r="L32" s="2" t="s">
        <v>98</v>
      </c>
      <c r="M32" s="2" t="s">
        <v>148</v>
      </c>
      <c r="N32" s="2" t="s">
        <v>100</v>
      </c>
      <c r="O32" s="6" t="s">
        <v>149</v>
      </c>
      <c r="P32" s="2" t="s">
        <v>102</v>
      </c>
    </row>
    <row r="33" spans="1:16" ht="23">
      <c r="A33" s="2" t="s">
        <v>147</v>
      </c>
      <c r="B33" s="5">
        <v>44804</v>
      </c>
      <c r="C33" s="2" t="s">
        <v>44</v>
      </c>
      <c r="D33" s="2" t="s">
        <v>45</v>
      </c>
      <c r="E33" s="2" t="s">
        <v>94</v>
      </c>
      <c r="F33" s="2" t="s">
        <v>108</v>
      </c>
      <c r="G33" s="3">
        <v>2559485</v>
      </c>
      <c r="H33" s="2" t="s">
        <v>108</v>
      </c>
      <c r="I33" s="4">
        <f t="shared" si="3"/>
        <v>2559485</v>
      </c>
      <c r="J33" s="2" t="s">
        <v>109</v>
      </c>
      <c r="K33" s="2" t="s">
        <v>97</v>
      </c>
      <c r="L33" s="2" t="s">
        <v>98</v>
      </c>
      <c r="M33" s="2" t="s">
        <v>148</v>
      </c>
      <c r="N33" s="2" t="s">
        <v>100</v>
      </c>
      <c r="O33" s="6" t="s">
        <v>149</v>
      </c>
      <c r="P33" s="2" t="s">
        <v>102</v>
      </c>
    </row>
    <row r="34" spans="1:16" ht="23">
      <c r="A34" s="2" t="s">
        <v>147</v>
      </c>
      <c r="B34" s="5">
        <v>44804</v>
      </c>
      <c r="C34" s="2" t="s">
        <v>44</v>
      </c>
      <c r="D34" s="2" t="s">
        <v>45</v>
      </c>
      <c r="E34" s="2" t="s">
        <v>94</v>
      </c>
      <c r="F34" s="2" t="s">
        <v>110</v>
      </c>
      <c r="G34" s="3">
        <v>4478048</v>
      </c>
      <c r="H34" s="2" t="s">
        <v>111</v>
      </c>
      <c r="I34" s="4">
        <f t="shared" si="3"/>
        <v>4478048</v>
      </c>
      <c r="J34" s="2" t="s">
        <v>112</v>
      </c>
      <c r="K34" s="2" t="s">
        <v>97</v>
      </c>
      <c r="L34" s="2" t="s">
        <v>98</v>
      </c>
      <c r="M34" s="2" t="s">
        <v>148</v>
      </c>
      <c r="N34" s="2" t="s">
        <v>100</v>
      </c>
      <c r="O34" s="6" t="s">
        <v>149</v>
      </c>
      <c r="P34" s="2" t="s">
        <v>102</v>
      </c>
    </row>
    <row r="35" spans="1:16" ht="23">
      <c r="A35" s="2" t="s">
        <v>147</v>
      </c>
      <c r="B35" s="5">
        <v>44804</v>
      </c>
      <c r="C35" s="2" t="s">
        <v>44</v>
      </c>
      <c r="D35" s="2" t="s">
        <v>45</v>
      </c>
      <c r="E35" s="2" t="s">
        <v>94</v>
      </c>
      <c r="F35" s="2" t="s">
        <v>113</v>
      </c>
      <c r="G35" s="3">
        <v>712715</v>
      </c>
      <c r="H35" s="2" t="s">
        <v>114</v>
      </c>
      <c r="I35" s="4">
        <f t="shared" si="3"/>
        <v>712715</v>
      </c>
      <c r="J35" s="2" t="s">
        <v>112</v>
      </c>
      <c r="K35" s="2" t="s">
        <v>97</v>
      </c>
      <c r="L35" s="2" t="s">
        <v>98</v>
      </c>
      <c r="M35" s="2" t="s">
        <v>148</v>
      </c>
      <c r="N35" s="2" t="s">
        <v>100</v>
      </c>
      <c r="O35" s="6" t="s">
        <v>149</v>
      </c>
      <c r="P35" s="2" t="s">
        <v>102</v>
      </c>
    </row>
    <row r="36" spans="1:16" ht="23">
      <c r="A36" s="2" t="s">
        <v>147</v>
      </c>
      <c r="B36" s="5">
        <v>44804</v>
      </c>
      <c r="C36" s="2" t="s">
        <v>44</v>
      </c>
      <c r="D36" s="2" t="s">
        <v>45</v>
      </c>
      <c r="E36" s="2" t="s">
        <v>115</v>
      </c>
      <c r="F36" s="2" t="s">
        <v>116</v>
      </c>
      <c r="G36" s="3"/>
      <c r="H36" s="2" t="s">
        <v>117</v>
      </c>
      <c r="I36" s="4">
        <f>G31+G32</f>
        <v>1339408</v>
      </c>
      <c r="J36" s="2" t="s">
        <v>118</v>
      </c>
      <c r="K36" s="2" t="s">
        <v>97</v>
      </c>
      <c r="L36" s="2" t="s">
        <v>119</v>
      </c>
      <c r="M36" s="2" t="s">
        <v>148</v>
      </c>
      <c r="N36" s="2" t="s">
        <v>120</v>
      </c>
      <c r="O36" s="6" t="s">
        <v>149</v>
      </c>
      <c r="P36" s="2" t="s">
        <v>102</v>
      </c>
    </row>
    <row r="37" spans="1:16" ht="23">
      <c r="A37" s="2" t="s">
        <v>147</v>
      </c>
      <c r="B37" s="5">
        <v>44804</v>
      </c>
      <c r="C37" s="2" t="s">
        <v>44</v>
      </c>
      <c r="D37" s="2" t="s">
        <v>45</v>
      </c>
      <c r="E37" s="2" t="s">
        <v>115</v>
      </c>
      <c r="F37" s="2" t="s">
        <v>121</v>
      </c>
      <c r="G37" s="3"/>
      <c r="H37" s="2" t="s">
        <v>122</v>
      </c>
      <c r="I37" s="4">
        <f>G34+G35</f>
        <v>5190763</v>
      </c>
      <c r="J37" s="2" t="s">
        <v>123</v>
      </c>
      <c r="K37" s="2" t="s">
        <v>97</v>
      </c>
      <c r="L37" s="2" t="s">
        <v>124</v>
      </c>
      <c r="M37" s="2" t="s">
        <v>148</v>
      </c>
      <c r="N37" s="2" t="s">
        <v>125</v>
      </c>
      <c r="O37" s="6" t="s">
        <v>149</v>
      </c>
      <c r="P37" s="2" t="s">
        <v>102</v>
      </c>
    </row>
    <row r="38" spans="1:16" ht="23">
      <c r="A38" s="2" t="s">
        <v>147</v>
      </c>
      <c r="B38" s="5">
        <v>44804</v>
      </c>
      <c r="C38" s="2" t="s">
        <v>44</v>
      </c>
      <c r="D38" s="2" t="s">
        <v>45</v>
      </c>
      <c r="E38" s="2" t="s">
        <v>94</v>
      </c>
      <c r="F38" s="2" t="s">
        <v>127</v>
      </c>
      <c r="G38" s="3">
        <v>61594305</v>
      </c>
      <c r="H38" s="2" t="s">
        <v>127</v>
      </c>
      <c r="I38" s="4">
        <f t="shared" ref="I38:I45" si="4">G38</f>
        <v>61594305</v>
      </c>
      <c r="J38" s="2" t="s">
        <v>128</v>
      </c>
      <c r="K38" s="2" t="s">
        <v>97</v>
      </c>
      <c r="L38" s="2" t="s">
        <v>129</v>
      </c>
      <c r="M38" s="2" t="s">
        <v>148</v>
      </c>
      <c r="N38" s="2" t="s">
        <v>130</v>
      </c>
      <c r="O38" s="6" t="s">
        <v>149</v>
      </c>
      <c r="P38" s="2" t="s">
        <v>102</v>
      </c>
    </row>
    <row r="39" spans="1:16" ht="23">
      <c r="A39" s="2" t="s">
        <v>147</v>
      </c>
      <c r="B39" s="5">
        <v>44804</v>
      </c>
      <c r="C39" s="2" t="s">
        <v>44</v>
      </c>
      <c r="D39" s="2" t="s">
        <v>45</v>
      </c>
      <c r="E39" s="2" t="s">
        <v>94</v>
      </c>
      <c r="F39" s="2" t="s">
        <v>131</v>
      </c>
      <c r="G39" s="3">
        <v>41892766</v>
      </c>
      <c r="H39" s="2" t="s">
        <v>132</v>
      </c>
      <c r="I39" s="4">
        <f t="shared" si="4"/>
        <v>41892766</v>
      </c>
      <c r="J39" s="2" t="s">
        <v>128</v>
      </c>
      <c r="K39" s="2" t="s">
        <v>97</v>
      </c>
      <c r="L39" s="2" t="s">
        <v>129</v>
      </c>
      <c r="M39" s="2" t="s">
        <v>148</v>
      </c>
      <c r="N39" s="2" t="s">
        <v>130</v>
      </c>
      <c r="O39" s="6" t="s">
        <v>149</v>
      </c>
      <c r="P39" s="2" t="s">
        <v>102</v>
      </c>
    </row>
    <row r="40" spans="1:16" ht="23">
      <c r="A40" s="2" t="s">
        <v>147</v>
      </c>
      <c r="B40" s="5">
        <v>44804</v>
      </c>
      <c r="C40" s="2" t="s">
        <v>44</v>
      </c>
      <c r="D40" s="2" t="s">
        <v>45</v>
      </c>
      <c r="E40" s="2" t="s">
        <v>94</v>
      </c>
      <c r="F40" s="2" t="s">
        <v>133</v>
      </c>
      <c r="G40" s="3">
        <v>9367181</v>
      </c>
      <c r="H40" s="2" t="s">
        <v>134</v>
      </c>
      <c r="I40" s="4">
        <f t="shared" si="4"/>
        <v>9367181</v>
      </c>
      <c r="J40" s="2" t="s">
        <v>128</v>
      </c>
      <c r="K40" s="2" t="s">
        <v>97</v>
      </c>
      <c r="L40" s="2" t="s">
        <v>129</v>
      </c>
      <c r="M40" s="2" t="s">
        <v>148</v>
      </c>
      <c r="N40" s="2" t="s">
        <v>130</v>
      </c>
      <c r="O40" s="6" t="s">
        <v>149</v>
      </c>
      <c r="P40" s="2" t="s">
        <v>102</v>
      </c>
    </row>
    <row r="41" spans="1:16" ht="23">
      <c r="A41" s="2" t="s">
        <v>147</v>
      </c>
      <c r="B41" s="5">
        <v>44804</v>
      </c>
      <c r="C41" s="2" t="s">
        <v>44</v>
      </c>
      <c r="D41" s="2" t="s">
        <v>45</v>
      </c>
      <c r="E41" s="2" t="s">
        <v>94</v>
      </c>
      <c r="F41" s="2" t="s">
        <v>135</v>
      </c>
      <c r="G41" s="3">
        <v>6988960</v>
      </c>
      <c r="H41" s="2" t="s">
        <v>135</v>
      </c>
      <c r="I41" s="4">
        <f t="shared" si="4"/>
        <v>6988960</v>
      </c>
      <c r="J41" s="2" t="s">
        <v>128</v>
      </c>
      <c r="K41" s="2" t="s">
        <v>97</v>
      </c>
      <c r="L41" s="2" t="s">
        <v>129</v>
      </c>
      <c r="M41" s="2" t="s">
        <v>148</v>
      </c>
      <c r="N41" s="2" t="s">
        <v>130</v>
      </c>
      <c r="O41" s="6" t="s">
        <v>149</v>
      </c>
      <c r="P41" s="2" t="s">
        <v>102</v>
      </c>
    </row>
    <row r="42" spans="1:16" ht="23">
      <c r="A42" s="2" t="s">
        <v>147</v>
      </c>
      <c r="B42" s="5">
        <v>44804</v>
      </c>
      <c r="C42" s="2" t="s">
        <v>44</v>
      </c>
      <c r="D42" s="2" t="s">
        <v>45</v>
      </c>
      <c r="E42" s="2" t="s">
        <v>94</v>
      </c>
      <c r="F42" s="2" t="s">
        <v>136</v>
      </c>
      <c r="G42" s="3">
        <v>9541129</v>
      </c>
      <c r="H42" s="2" t="s">
        <v>136</v>
      </c>
      <c r="I42" s="4">
        <f t="shared" si="4"/>
        <v>9541129</v>
      </c>
      <c r="J42" s="2" t="s">
        <v>128</v>
      </c>
      <c r="K42" s="2" t="s">
        <v>97</v>
      </c>
      <c r="L42" s="2" t="s">
        <v>129</v>
      </c>
      <c r="M42" s="2" t="s">
        <v>148</v>
      </c>
      <c r="N42" s="2" t="s">
        <v>130</v>
      </c>
      <c r="O42" s="6" t="s">
        <v>149</v>
      </c>
      <c r="P42" s="2" t="s">
        <v>102</v>
      </c>
    </row>
    <row r="43" spans="1:16" ht="23">
      <c r="A43" s="2" t="s">
        <v>147</v>
      </c>
      <c r="B43" s="5">
        <v>44804</v>
      </c>
      <c r="C43" s="2" t="s">
        <v>44</v>
      </c>
      <c r="D43" s="2" t="s">
        <v>45</v>
      </c>
      <c r="E43" s="2" t="s">
        <v>94</v>
      </c>
      <c r="F43" s="2" t="s">
        <v>137</v>
      </c>
      <c r="G43" s="3">
        <v>591748</v>
      </c>
      <c r="H43" s="2" t="s">
        <v>137</v>
      </c>
      <c r="I43" s="4">
        <f t="shared" si="4"/>
        <v>591748</v>
      </c>
      <c r="J43" s="2" t="s">
        <v>128</v>
      </c>
      <c r="K43" s="2" t="s">
        <v>97</v>
      </c>
      <c r="L43" s="2" t="s">
        <v>129</v>
      </c>
      <c r="M43" s="2" t="s">
        <v>148</v>
      </c>
      <c r="N43" s="2" t="s">
        <v>130</v>
      </c>
      <c r="O43" s="6" t="s">
        <v>149</v>
      </c>
      <c r="P43" s="2" t="s">
        <v>102</v>
      </c>
    </row>
    <row r="44" spans="1:16" ht="23">
      <c r="A44" s="2" t="s">
        <v>147</v>
      </c>
      <c r="B44" s="5">
        <v>44804</v>
      </c>
      <c r="C44" s="2" t="s">
        <v>44</v>
      </c>
      <c r="D44" s="2" t="s">
        <v>45</v>
      </c>
      <c r="E44" s="2" t="s">
        <v>94</v>
      </c>
      <c r="F44" s="2" t="s">
        <v>138</v>
      </c>
      <c r="G44" s="3">
        <v>280093</v>
      </c>
      <c r="H44" s="2" t="s">
        <v>139</v>
      </c>
      <c r="I44" s="4">
        <f t="shared" si="4"/>
        <v>280093</v>
      </c>
      <c r="J44" s="2" t="s">
        <v>128</v>
      </c>
      <c r="K44" s="2" t="s">
        <v>97</v>
      </c>
      <c r="L44" s="2" t="s">
        <v>129</v>
      </c>
      <c r="M44" s="2" t="s">
        <v>148</v>
      </c>
      <c r="N44" s="2" t="s">
        <v>130</v>
      </c>
      <c r="O44" s="6" t="s">
        <v>149</v>
      </c>
      <c r="P44" s="2" t="s">
        <v>102</v>
      </c>
    </row>
    <row r="45" spans="1:16" ht="23">
      <c r="A45" s="2" t="s">
        <v>147</v>
      </c>
      <c r="B45" s="5">
        <v>44804</v>
      </c>
      <c r="C45" s="2" t="s">
        <v>44</v>
      </c>
      <c r="D45" s="2" t="s">
        <v>45</v>
      </c>
      <c r="E45" s="2" t="s">
        <v>94</v>
      </c>
      <c r="F45" s="2" t="s">
        <v>140</v>
      </c>
      <c r="G45" s="3">
        <v>438897</v>
      </c>
      <c r="H45" s="2" t="s">
        <v>139</v>
      </c>
      <c r="I45" s="4">
        <f t="shared" si="4"/>
        <v>438897</v>
      </c>
      <c r="J45" s="2" t="s">
        <v>128</v>
      </c>
      <c r="K45" s="2" t="s">
        <v>97</v>
      </c>
      <c r="L45" s="2" t="s">
        <v>129</v>
      </c>
      <c r="M45" s="2" t="s">
        <v>148</v>
      </c>
      <c r="N45" s="2" t="s">
        <v>130</v>
      </c>
      <c r="O45" s="6" t="s">
        <v>149</v>
      </c>
      <c r="P45" s="2" t="s">
        <v>102</v>
      </c>
    </row>
    <row r="46" spans="1:16" ht="23">
      <c r="A46" s="2" t="s">
        <v>147</v>
      </c>
      <c r="B46" s="5">
        <v>44804</v>
      </c>
      <c r="C46" s="2" t="s">
        <v>44</v>
      </c>
      <c r="D46" s="2" t="s">
        <v>45</v>
      </c>
      <c r="E46" s="2" t="s">
        <v>141</v>
      </c>
      <c r="F46" s="2" t="s">
        <v>142</v>
      </c>
      <c r="G46" s="3"/>
      <c r="H46" s="2" t="s">
        <v>143</v>
      </c>
      <c r="I46" s="4">
        <f>G44+G45</f>
        <v>718990</v>
      </c>
      <c r="J46" s="2" t="s">
        <v>144</v>
      </c>
      <c r="K46" s="2" t="s">
        <v>97</v>
      </c>
      <c r="L46" s="2" t="s">
        <v>145</v>
      </c>
      <c r="M46" s="2" t="s">
        <v>148</v>
      </c>
      <c r="N46" s="2" t="s">
        <v>146</v>
      </c>
      <c r="O46" s="6" t="s">
        <v>149</v>
      </c>
      <c r="P46" s="2" t="s">
        <v>102</v>
      </c>
    </row>
    <row r="47" spans="1:16" ht="23">
      <c r="A47" s="2" t="s">
        <v>150</v>
      </c>
      <c r="B47" s="5">
        <v>45169</v>
      </c>
      <c r="C47" s="2" t="s">
        <v>44</v>
      </c>
      <c r="D47" s="2" t="s">
        <v>45</v>
      </c>
      <c r="E47" s="2" t="s">
        <v>94</v>
      </c>
      <c r="F47" s="2" t="s">
        <v>95</v>
      </c>
      <c r="G47" s="3">
        <v>10690713</v>
      </c>
      <c r="H47" s="2" t="s">
        <v>95</v>
      </c>
      <c r="I47" s="4">
        <f t="shared" ref="I47:I52" si="5">G47</f>
        <v>10690713</v>
      </c>
      <c r="J47" s="2" t="s">
        <v>96</v>
      </c>
      <c r="K47" s="2" t="s">
        <v>97</v>
      </c>
      <c r="L47" s="2" t="s">
        <v>98</v>
      </c>
      <c r="M47" s="2" t="s">
        <v>151</v>
      </c>
      <c r="N47" s="2" t="s">
        <v>100</v>
      </c>
      <c r="O47" s="6" t="s">
        <v>152</v>
      </c>
      <c r="P47" s="2" t="s">
        <v>102</v>
      </c>
    </row>
    <row r="48" spans="1:16" ht="23">
      <c r="A48" s="2" t="s">
        <v>150</v>
      </c>
      <c r="B48" s="5">
        <v>45169</v>
      </c>
      <c r="C48" s="2" t="s">
        <v>44</v>
      </c>
      <c r="D48" s="2" t="s">
        <v>45</v>
      </c>
      <c r="E48" s="2" t="s">
        <v>94</v>
      </c>
      <c r="F48" s="2" t="s">
        <v>103</v>
      </c>
      <c r="G48" s="3">
        <v>1536473</v>
      </c>
      <c r="H48" s="2" t="s">
        <v>104</v>
      </c>
      <c r="I48" s="4">
        <f t="shared" si="5"/>
        <v>1536473</v>
      </c>
      <c r="J48" s="2" t="s">
        <v>105</v>
      </c>
      <c r="K48" s="2" t="s">
        <v>97</v>
      </c>
      <c r="L48" s="2" t="s">
        <v>98</v>
      </c>
      <c r="M48" s="2" t="s">
        <v>151</v>
      </c>
      <c r="N48" s="2" t="s">
        <v>100</v>
      </c>
      <c r="O48" s="6" t="s">
        <v>152</v>
      </c>
      <c r="P48" s="2" t="s">
        <v>102</v>
      </c>
    </row>
    <row r="49" spans="1:16" ht="23">
      <c r="A49" s="2" t="s">
        <v>150</v>
      </c>
      <c r="B49" s="5">
        <v>45169</v>
      </c>
      <c r="C49" s="2" t="s">
        <v>44</v>
      </c>
      <c r="D49" s="2" t="s">
        <v>45</v>
      </c>
      <c r="E49" s="2" t="s">
        <v>94</v>
      </c>
      <c r="F49" s="2" t="s">
        <v>106</v>
      </c>
      <c r="G49" s="3">
        <v>106994</v>
      </c>
      <c r="H49" s="2" t="s">
        <v>107</v>
      </c>
      <c r="I49" s="4">
        <f t="shared" si="5"/>
        <v>106994</v>
      </c>
      <c r="J49" s="2" t="s">
        <v>105</v>
      </c>
      <c r="K49" s="2" t="s">
        <v>97</v>
      </c>
      <c r="L49" s="2" t="s">
        <v>98</v>
      </c>
      <c r="M49" s="2" t="s">
        <v>151</v>
      </c>
      <c r="N49" s="2" t="s">
        <v>100</v>
      </c>
      <c r="O49" s="6" t="s">
        <v>152</v>
      </c>
      <c r="P49" s="2" t="s">
        <v>102</v>
      </c>
    </row>
    <row r="50" spans="1:16" ht="23">
      <c r="A50" s="2" t="s">
        <v>150</v>
      </c>
      <c r="B50" s="5">
        <v>45169</v>
      </c>
      <c r="C50" s="2" t="s">
        <v>44</v>
      </c>
      <c r="D50" s="2" t="s">
        <v>45</v>
      </c>
      <c r="E50" s="2" t="s">
        <v>94</v>
      </c>
      <c r="F50" s="2" t="s">
        <v>108</v>
      </c>
      <c r="G50" s="3">
        <v>2491173</v>
      </c>
      <c r="H50" s="2" t="s">
        <v>108</v>
      </c>
      <c r="I50" s="4">
        <f t="shared" si="5"/>
        <v>2491173</v>
      </c>
      <c r="J50" s="2" t="s">
        <v>109</v>
      </c>
      <c r="K50" s="2" t="s">
        <v>97</v>
      </c>
      <c r="L50" s="2" t="s">
        <v>98</v>
      </c>
      <c r="M50" s="2" t="s">
        <v>151</v>
      </c>
      <c r="N50" s="2" t="s">
        <v>100</v>
      </c>
      <c r="O50" s="6" t="s">
        <v>152</v>
      </c>
      <c r="P50" s="2" t="s">
        <v>102</v>
      </c>
    </row>
    <row r="51" spans="1:16" ht="23">
      <c r="A51" s="2" t="s">
        <v>150</v>
      </c>
      <c r="B51" s="5">
        <v>45169</v>
      </c>
      <c r="C51" s="2" t="s">
        <v>44</v>
      </c>
      <c r="D51" s="2" t="s">
        <v>45</v>
      </c>
      <c r="E51" s="2" t="s">
        <v>94</v>
      </c>
      <c r="F51" s="2" t="s">
        <v>110</v>
      </c>
      <c r="G51" s="3">
        <v>4907152</v>
      </c>
      <c r="H51" s="2" t="s">
        <v>111</v>
      </c>
      <c r="I51" s="4">
        <f t="shared" si="5"/>
        <v>4907152</v>
      </c>
      <c r="J51" s="2" t="s">
        <v>112</v>
      </c>
      <c r="K51" s="2" t="s">
        <v>97</v>
      </c>
      <c r="L51" s="2" t="s">
        <v>98</v>
      </c>
      <c r="M51" s="2" t="s">
        <v>151</v>
      </c>
      <c r="N51" s="2" t="s">
        <v>100</v>
      </c>
      <c r="O51" s="6" t="s">
        <v>152</v>
      </c>
      <c r="P51" s="2" t="s">
        <v>102</v>
      </c>
    </row>
    <row r="52" spans="1:16" ht="23">
      <c r="A52" s="2" t="s">
        <v>150</v>
      </c>
      <c r="B52" s="5">
        <v>45169</v>
      </c>
      <c r="C52" s="2" t="s">
        <v>44</v>
      </c>
      <c r="D52" s="2" t="s">
        <v>45</v>
      </c>
      <c r="E52" s="2" t="s">
        <v>94</v>
      </c>
      <c r="F52" s="2" t="s">
        <v>113</v>
      </c>
      <c r="G52" s="3">
        <v>653954</v>
      </c>
      <c r="H52" s="2" t="s">
        <v>114</v>
      </c>
      <c r="I52" s="4">
        <f t="shared" si="5"/>
        <v>653954</v>
      </c>
      <c r="J52" s="2" t="s">
        <v>112</v>
      </c>
      <c r="K52" s="2" t="s">
        <v>97</v>
      </c>
      <c r="L52" s="2" t="s">
        <v>98</v>
      </c>
      <c r="M52" s="2" t="s">
        <v>151</v>
      </c>
      <c r="N52" s="2" t="s">
        <v>100</v>
      </c>
      <c r="O52" s="6" t="s">
        <v>152</v>
      </c>
      <c r="P52" s="2" t="s">
        <v>102</v>
      </c>
    </row>
    <row r="53" spans="1:16" ht="23">
      <c r="A53" s="2" t="s">
        <v>150</v>
      </c>
      <c r="B53" s="5">
        <v>45169</v>
      </c>
      <c r="C53" s="2" t="s">
        <v>44</v>
      </c>
      <c r="D53" s="2" t="s">
        <v>45</v>
      </c>
      <c r="E53" s="2" t="s">
        <v>115</v>
      </c>
      <c r="F53" s="2" t="s">
        <v>116</v>
      </c>
      <c r="G53" s="3"/>
      <c r="H53" s="2" t="s">
        <v>117</v>
      </c>
      <c r="I53" s="4">
        <f>G48+G49</f>
        <v>1643467</v>
      </c>
      <c r="J53" s="2" t="s">
        <v>118</v>
      </c>
      <c r="K53" s="2" t="s">
        <v>97</v>
      </c>
      <c r="L53" s="2" t="s">
        <v>119</v>
      </c>
      <c r="M53" s="2" t="s">
        <v>151</v>
      </c>
      <c r="N53" s="2" t="s">
        <v>120</v>
      </c>
      <c r="O53" s="6" t="s">
        <v>152</v>
      </c>
      <c r="P53" s="2" t="s">
        <v>102</v>
      </c>
    </row>
    <row r="54" spans="1:16" ht="23">
      <c r="A54" s="2" t="s">
        <v>150</v>
      </c>
      <c r="B54" s="5">
        <v>45169</v>
      </c>
      <c r="C54" s="2" t="s">
        <v>44</v>
      </c>
      <c r="D54" s="2" t="s">
        <v>45</v>
      </c>
      <c r="E54" s="2" t="s">
        <v>115</v>
      </c>
      <c r="F54" s="2" t="s">
        <v>121</v>
      </c>
      <c r="G54" s="3"/>
      <c r="H54" s="2" t="s">
        <v>122</v>
      </c>
      <c r="I54" s="4">
        <f>G51+G52</f>
        <v>5561106</v>
      </c>
      <c r="J54" s="2" t="s">
        <v>123</v>
      </c>
      <c r="K54" s="2" t="s">
        <v>97</v>
      </c>
      <c r="L54" s="2" t="s">
        <v>124</v>
      </c>
      <c r="M54" s="2" t="s">
        <v>151</v>
      </c>
      <c r="N54" s="2" t="s">
        <v>125</v>
      </c>
      <c r="O54" s="6" t="s">
        <v>152</v>
      </c>
      <c r="P54" s="2" t="s">
        <v>102</v>
      </c>
    </row>
    <row r="55" spans="1:16" ht="23">
      <c r="A55" s="2" t="s">
        <v>150</v>
      </c>
      <c r="B55" s="5">
        <v>45169</v>
      </c>
      <c r="C55" s="2" t="s">
        <v>44</v>
      </c>
      <c r="D55" s="2" t="s">
        <v>45</v>
      </c>
      <c r="E55" s="2" t="s">
        <v>94</v>
      </c>
      <c r="F55" s="2" t="s">
        <v>127</v>
      </c>
      <c r="G55" s="3">
        <v>64111745</v>
      </c>
      <c r="H55" s="2" t="s">
        <v>127</v>
      </c>
      <c r="I55" s="4">
        <f t="shared" ref="I55:I62" si="6">G55</f>
        <v>64111745</v>
      </c>
      <c r="J55" s="2" t="s">
        <v>128</v>
      </c>
      <c r="K55" s="2" t="s">
        <v>97</v>
      </c>
      <c r="L55" s="2" t="s">
        <v>129</v>
      </c>
      <c r="M55" s="2" t="s">
        <v>151</v>
      </c>
      <c r="N55" s="2" t="s">
        <v>130</v>
      </c>
      <c r="O55" s="6" t="s">
        <v>152</v>
      </c>
      <c r="P55" s="2" t="s">
        <v>102</v>
      </c>
    </row>
    <row r="56" spans="1:16" ht="23">
      <c r="A56" s="2" t="s">
        <v>150</v>
      </c>
      <c r="B56" s="5">
        <v>45169</v>
      </c>
      <c r="C56" s="2" t="s">
        <v>44</v>
      </c>
      <c r="D56" s="2" t="s">
        <v>45</v>
      </c>
      <c r="E56" s="2" t="s">
        <v>94</v>
      </c>
      <c r="F56" s="2" t="s">
        <v>131</v>
      </c>
      <c r="G56" s="3">
        <v>43380138</v>
      </c>
      <c r="H56" s="2" t="s">
        <v>132</v>
      </c>
      <c r="I56" s="4">
        <f t="shared" si="6"/>
        <v>43380138</v>
      </c>
      <c r="J56" s="2" t="s">
        <v>128</v>
      </c>
      <c r="K56" s="2" t="s">
        <v>97</v>
      </c>
      <c r="L56" s="2" t="s">
        <v>129</v>
      </c>
      <c r="M56" s="2" t="s">
        <v>151</v>
      </c>
      <c r="N56" s="2" t="s">
        <v>130</v>
      </c>
      <c r="O56" s="6" t="s">
        <v>152</v>
      </c>
      <c r="P56" s="2" t="s">
        <v>102</v>
      </c>
    </row>
    <row r="57" spans="1:16" ht="23">
      <c r="A57" s="2" t="s">
        <v>150</v>
      </c>
      <c r="B57" s="5">
        <v>45169</v>
      </c>
      <c r="C57" s="2" t="s">
        <v>44</v>
      </c>
      <c r="D57" s="2" t="s">
        <v>45</v>
      </c>
      <c r="E57" s="2" t="s">
        <v>94</v>
      </c>
      <c r="F57" s="2" t="s">
        <v>133</v>
      </c>
      <c r="G57" s="3">
        <v>8809889</v>
      </c>
      <c r="H57" s="2" t="s">
        <v>134</v>
      </c>
      <c r="I57" s="4">
        <f t="shared" si="6"/>
        <v>8809889</v>
      </c>
      <c r="J57" s="2" t="s">
        <v>128</v>
      </c>
      <c r="K57" s="2" t="s">
        <v>97</v>
      </c>
      <c r="L57" s="2" t="s">
        <v>129</v>
      </c>
      <c r="M57" s="2" t="s">
        <v>151</v>
      </c>
      <c r="N57" s="2" t="s">
        <v>130</v>
      </c>
      <c r="O57" s="6" t="s">
        <v>152</v>
      </c>
      <c r="P57" s="2" t="s">
        <v>102</v>
      </c>
    </row>
    <row r="58" spans="1:16" ht="23">
      <c r="A58" s="2" t="s">
        <v>150</v>
      </c>
      <c r="B58" s="5">
        <v>45169</v>
      </c>
      <c r="C58" s="2" t="s">
        <v>44</v>
      </c>
      <c r="D58" s="2" t="s">
        <v>45</v>
      </c>
      <c r="E58" s="2" t="s">
        <v>94</v>
      </c>
      <c r="F58" s="2" t="s">
        <v>135</v>
      </c>
      <c r="G58" s="3">
        <v>7003530</v>
      </c>
      <c r="H58" s="2" t="s">
        <v>135</v>
      </c>
      <c r="I58" s="4">
        <f t="shared" si="6"/>
        <v>7003530</v>
      </c>
      <c r="J58" s="2" t="s">
        <v>128</v>
      </c>
      <c r="K58" s="2" t="s">
        <v>97</v>
      </c>
      <c r="L58" s="2" t="s">
        <v>129</v>
      </c>
      <c r="M58" s="2" t="s">
        <v>151</v>
      </c>
      <c r="N58" s="2" t="s">
        <v>130</v>
      </c>
      <c r="O58" s="6" t="s">
        <v>152</v>
      </c>
      <c r="P58" s="2" t="s">
        <v>102</v>
      </c>
    </row>
    <row r="59" spans="1:16" ht="23">
      <c r="A59" s="2" t="s">
        <v>150</v>
      </c>
      <c r="B59" s="5">
        <v>45169</v>
      </c>
      <c r="C59" s="2" t="s">
        <v>44</v>
      </c>
      <c r="D59" s="2" t="s">
        <v>45</v>
      </c>
      <c r="E59" s="2" t="s">
        <v>94</v>
      </c>
      <c r="F59" s="2" t="s">
        <v>136</v>
      </c>
      <c r="G59" s="3">
        <v>9524268</v>
      </c>
      <c r="H59" s="2" t="s">
        <v>136</v>
      </c>
      <c r="I59" s="4">
        <f t="shared" si="6"/>
        <v>9524268</v>
      </c>
      <c r="J59" s="2" t="s">
        <v>128</v>
      </c>
      <c r="K59" s="2" t="s">
        <v>97</v>
      </c>
      <c r="L59" s="2" t="s">
        <v>129</v>
      </c>
      <c r="M59" s="2" t="s">
        <v>151</v>
      </c>
      <c r="N59" s="2" t="s">
        <v>130</v>
      </c>
      <c r="O59" s="6" t="s">
        <v>152</v>
      </c>
      <c r="P59" s="2" t="s">
        <v>102</v>
      </c>
    </row>
    <row r="60" spans="1:16" ht="23">
      <c r="A60" s="2" t="s">
        <v>150</v>
      </c>
      <c r="B60" s="5">
        <v>45169</v>
      </c>
      <c r="C60" s="2" t="s">
        <v>44</v>
      </c>
      <c r="D60" s="2" t="s">
        <v>45</v>
      </c>
      <c r="E60" s="2" t="s">
        <v>94</v>
      </c>
      <c r="F60" s="2" t="s">
        <v>137</v>
      </c>
      <c r="G60" s="3">
        <v>620659</v>
      </c>
      <c r="H60" s="2" t="s">
        <v>137</v>
      </c>
      <c r="I60" s="4">
        <f t="shared" si="6"/>
        <v>620659</v>
      </c>
      <c r="J60" s="2" t="s">
        <v>128</v>
      </c>
      <c r="K60" s="2" t="s">
        <v>97</v>
      </c>
      <c r="L60" s="2" t="s">
        <v>129</v>
      </c>
      <c r="M60" s="2" t="s">
        <v>151</v>
      </c>
      <c r="N60" s="2" t="s">
        <v>130</v>
      </c>
      <c r="O60" s="6" t="s">
        <v>152</v>
      </c>
      <c r="P60" s="2" t="s">
        <v>102</v>
      </c>
    </row>
    <row r="61" spans="1:16" ht="23">
      <c r="A61" s="2" t="s">
        <v>150</v>
      </c>
      <c r="B61" s="5">
        <v>45169</v>
      </c>
      <c r="C61" s="2" t="s">
        <v>44</v>
      </c>
      <c r="D61" s="2" t="s">
        <v>45</v>
      </c>
      <c r="E61" s="2" t="s">
        <v>94</v>
      </c>
      <c r="F61" s="2" t="s">
        <v>138</v>
      </c>
      <c r="G61" s="3">
        <v>339139</v>
      </c>
      <c r="H61" s="2" t="s">
        <v>139</v>
      </c>
      <c r="I61" s="4">
        <f t="shared" si="6"/>
        <v>339139</v>
      </c>
      <c r="J61" s="2" t="s">
        <v>128</v>
      </c>
      <c r="K61" s="2" t="s">
        <v>97</v>
      </c>
      <c r="L61" s="2" t="s">
        <v>129</v>
      </c>
      <c r="M61" s="2" t="s">
        <v>151</v>
      </c>
      <c r="N61" s="2" t="s">
        <v>130</v>
      </c>
      <c r="O61" s="6" t="s">
        <v>152</v>
      </c>
      <c r="P61" s="2" t="s">
        <v>102</v>
      </c>
    </row>
    <row r="62" spans="1:16" ht="23">
      <c r="A62" s="2" t="s">
        <v>150</v>
      </c>
      <c r="B62" s="5">
        <v>45169</v>
      </c>
      <c r="C62" s="2" t="s">
        <v>44</v>
      </c>
      <c r="D62" s="2" t="s">
        <v>45</v>
      </c>
      <c r="E62" s="2" t="s">
        <v>94</v>
      </c>
      <c r="F62" s="2" t="s">
        <v>140</v>
      </c>
      <c r="G62" s="3">
        <v>440957</v>
      </c>
      <c r="H62" s="2" t="s">
        <v>139</v>
      </c>
      <c r="I62" s="4">
        <f t="shared" si="6"/>
        <v>440957</v>
      </c>
      <c r="J62" s="2" t="s">
        <v>128</v>
      </c>
      <c r="K62" s="2" t="s">
        <v>97</v>
      </c>
      <c r="L62" s="2" t="s">
        <v>129</v>
      </c>
      <c r="M62" s="2" t="s">
        <v>151</v>
      </c>
      <c r="N62" s="2" t="s">
        <v>130</v>
      </c>
      <c r="O62" s="6" t="s">
        <v>152</v>
      </c>
      <c r="P62" s="2" t="s">
        <v>102</v>
      </c>
    </row>
    <row r="63" spans="1:16" ht="23">
      <c r="A63" s="2" t="s">
        <v>150</v>
      </c>
      <c r="B63" s="5">
        <v>45169</v>
      </c>
      <c r="C63" s="2" t="s">
        <v>44</v>
      </c>
      <c r="D63" s="2" t="s">
        <v>45</v>
      </c>
      <c r="E63" s="2" t="s">
        <v>141</v>
      </c>
      <c r="F63" s="2" t="s">
        <v>142</v>
      </c>
      <c r="G63" s="3"/>
      <c r="H63" s="2" t="s">
        <v>143</v>
      </c>
      <c r="I63" s="4">
        <f>G61+G62</f>
        <v>780096</v>
      </c>
      <c r="J63" s="2" t="s">
        <v>144</v>
      </c>
      <c r="K63" s="2" t="s">
        <v>97</v>
      </c>
      <c r="L63" s="2" t="s">
        <v>145</v>
      </c>
      <c r="M63" s="2" t="s">
        <v>151</v>
      </c>
      <c r="N63" s="2" t="s">
        <v>146</v>
      </c>
      <c r="O63" s="6" t="s">
        <v>152</v>
      </c>
      <c r="P63" s="2" t="s">
        <v>102</v>
      </c>
    </row>
    <row r="64" spans="1:16" ht="23">
      <c r="A64" s="2" t="s">
        <v>153</v>
      </c>
      <c r="B64" s="5">
        <v>45535</v>
      </c>
      <c r="C64" s="2" t="s">
        <v>44</v>
      </c>
      <c r="D64" s="2" t="s">
        <v>45</v>
      </c>
      <c r="E64" s="2" t="s">
        <v>94</v>
      </c>
      <c r="F64" s="2" t="s">
        <v>95</v>
      </c>
      <c r="G64" s="3">
        <v>11873442</v>
      </c>
      <c r="H64" s="2" t="s">
        <v>95</v>
      </c>
      <c r="I64" s="4">
        <f t="shared" ref="I64:I69" si="7">G64</f>
        <v>11873442</v>
      </c>
      <c r="J64" s="2" t="s">
        <v>96</v>
      </c>
      <c r="K64" s="2" t="s">
        <v>97</v>
      </c>
      <c r="L64" s="2" t="s">
        <v>98</v>
      </c>
      <c r="M64" s="2" t="s">
        <v>154</v>
      </c>
      <c r="N64" s="2" t="s">
        <v>100</v>
      </c>
      <c r="O64" s="6" t="s">
        <v>155</v>
      </c>
      <c r="P64" s="2" t="s">
        <v>102</v>
      </c>
    </row>
    <row r="65" spans="1:16" ht="23">
      <c r="A65" s="2" t="s">
        <v>153</v>
      </c>
      <c r="B65" s="5">
        <v>45535</v>
      </c>
      <c r="C65" s="2" t="s">
        <v>44</v>
      </c>
      <c r="D65" s="2" t="s">
        <v>45</v>
      </c>
      <c r="E65" s="2" t="s">
        <v>94</v>
      </c>
      <c r="F65" s="2" t="s">
        <v>103</v>
      </c>
      <c r="G65" s="3">
        <v>1791405</v>
      </c>
      <c r="H65" s="2" t="s">
        <v>104</v>
      </c>
      <c r="I65" s="4">
        <f t="shared" si="7"/>
        <v>1791405</v>
      </c>
      <c r="J65" s="2" t="s">
        <v>105</v>
      </c>
      <c r="K65" s="2" t="s">
        <v>97</v>
      </c>
      <c r="L65" s="2" t="s">
        <v>98</v>
      </c>
      <c r="M65" s="2" t="s">
        <v>154</v>
      </c>
      <c r="N65" s="2" t="s">
        <v>100</v>
      </c>
      <c r="O65" s="6" t="s">
        <v>155</v>
      </c>
      <c r="P65" s="2" t="s">
        <v>102</v>
      </c>
    </row>
    <row r="66" spans="1:16" ht="23">
      <c r="A66" s="2" t="s">
        <v>153</v>
      </c>
      <c r="B66" s="5">
        <v>45535</v>
      </c>
      <c r="C66" s="2" t="s">
        <v>44</v>
      </c>
      <c r="D66" s="2" t="s">
        <v>45</v>
      </c>
      <c r="E66" s="2" t="s">
        <v>94</v>
      </c>
      <c r="F66" s="2" t="s">
        <v>106</v>
      </c>
      <c r="G66" s="3">
        <v>120260</v>
      </c>
      <c r="H66" s="2" t="s">
        <v>107</v>
      </c>
      <c r="I66" s="4">
        <f t="shared" si="7"/>
        <v>120260</v>
      </c>
      <c r="J66" s="2" t="s">
        <v>105</v>
      </c>
      <c r="K66" s="2" t="s">
        <v>97</v>
      </c>
      <c r="L66" s="2" t="s">
        <v>98</v>
      </c>
      <c r="M66" s="2" t="s">
        <v>154</v>
      </c>
      <c r="N66" s="2" t="s">
        <v>100</v>
      </c>
      <c r="O66" s="6" t="s">
        <v>155</v>
      </c>
      <c r="P66" s="2" t="s">
        <v>102</v>
      </c>
    </row>
    <row r="67" spans="1:16" ht="23">
      <c r="A67" s="2" t="s">
        <v>153</v>
      </c>
      <c r="B67" s="5">
        <v>45535</v>
      </c>
      <c r="C67" s="2" t="s">
        <v>44</v>
      </c>
      <c r="D67" s="2" t="s">
        <v>45</v>
      </c>
      <c r="E67" s="2" t="s">
        <v>94</v>
      </c>
      <c r="F67" s="2" t="s">
        <v>108</v>
      </c>
      <c r="G67" s="3">
        <v>2743807</v>
      </c>
      <c r="H67" s="2" t="s">
        <v>108</v>
      </c>
      <c r="I67" s="4">
        <f t="shared" si="7"/>
        <v>2743807</v>
      </c>
      <c r="J67" s="2" t="s">
        <v>109</v>
      </c>
      <c r="K67" s="2" t="s">
        <v>97</v>
      </c>
      <c r="L67" s="2" t="s">
        <v>98</v>
      </c>
      <c r="M67" s="2" t="s">
        <v>154</v>
      </c>
      <c r="N67" s="2" t="s">
        <v>100</v>
      </c>
      <c r="O67" s="6" t="s">
        <v>155</v>
      </c>
      <c r="P67" s="2" t="s">
        <v>102</v>
      </c>
    </row>
    <row r="68" spans="1:16" ht="23">
      <c r="A68" s="2" t="s">
        <v>153</v>
      </c>
      <c r="B68" s="5">
        <v>45535</v>
      </c>
      <c r="C68" s="2" t="s">
        <v>44</v>
      </c>
      <c r="D68" s="2" t="s">
        <v>45</v>
      </c>
      <c r="E68" s="2" t="s">
        <v>94</v>
      </c>
      <c r="F68" s="2" t="s">
        <v>110</v>
      </c>
      <c r="G68" s="3">
        <v>5174923</v>
      </c>
      <c r="H68" s="2" t="s">
        <v>111</v>
      </c>
      <c r="I68" s="4">
        <f t="shared" si="7"/>
        <v>5174923</v>
      </c>
      <c r="J68" s="2" t="s">
        <v>112</v>
      </c>
      <c r="K68" s="2" t="s">
        <v>97</v>
      </c>
      <c r="L68" s="2" t="s">
        <v>98</v>
      </c>
      <c r="M68" s="2" t="s">
        <v>154</v>
      </c>
      <c r="N68" s="2" t="s">
        <v>100</v>
      </c>
      <c r="O68" s="6" t="s">
        <v>155</v>
      </c>
      <c r="P68" s="2" t="s">
        <v>102</v>
      </c>
    </row>
    <row r="69" spans="1:16" ht="23">
      <c r="A69" s="2" t="s">
        <v>153</v>
      </c>
      <c r="B69" s="5">
        <v>45535</v>
      </c>
      <c r="C69" s="2" t="s">
        <v>44</v>
      </c>
      <c r="D69" s="2" t="s">
        <v>45</v>
      </c>
      <c r="E69" s="2" t="s">
        <v>94</v>
      </c>
      <c r="F69" s="2" t="s">
        <v>113</v>
      </c>
      <c r="G69" s="3">
        <v>641091</v>
      </c>
      <c r="H69" s="2" t="s">
        <v>114</v>
      </c>
      <c r="I69" s="4">
        <f t="shared" si="7"/>
        <v>641091</v>
      </c>
      <c r="J69" s="2" t="s">
        <v>112</v>
      </c>
      <c r="K69" s="2" t="s">
        <v>97</v>
      </c>
      <c r="L69" s="2" t="s">
        <v>98</v>
      </c>
      <c r="M69" s="2" t="s">
        <v>154</v>
      </c>
      <c r="N69" s="2" t="s">
        <v>100</v>
      </c>
      <c r="O69" s="6" t="s">
        <v>155</v>
      </c>
      <c r="P69" s="2" t="s">
        <v>102</v>
      </c>
    </row>
    <row r="70" spans="1:16" ht="23">
      <c r="A70" s="2" t="s">
        <v>153</v>
      </c>
      <c r="B70" s="5">
        <v>45535</v>
      </c>
      <c r="C70" s="2" t="s">
        <v>44</v>
      </c>
      <c r="D70" s="2" t="s">
        <v>45</v>
      </c>
      <c r="E70" s="2" t="s">
        <v>115</v>
      </c>
      <c r="F70" s="2" t="s">
        <v>116</v>
      </c>
      <c r="G70" s="3"/>
      <c r="H70" s="2" t="s">
        <v>117</v>
      </c>
      <c r="I70" s="4">
        <f>G65+G66</f>
        <v>1911665</v>
      </c>
      <c r="J70" s="2" t="s">
        <v>118</v>
      </c>
      <c r="K70" s="2" t="s">
        <v>97</v>
      </c>
      <c r="L70" s="2" t="s">
        <v>119</v>
      </c>
      <c r="M70" s="2" t="s">
        <v>154</v>
      </c>
      <c r="N70" s="2" t="s">
        <v>120</v>
      </c>
      <c r="O70" s="6" t="s">
        <v>155</v>
      </c>
      <c r="P70" s="2" t="s">
        <v>102</v>
      </c>
    </row>
    <row r="71" spans="1:16" ht="23">
      <c r="A71" s="2" t="s">
        <v>153</v>
      </c>
      <c r="B71" s="5">
        <v>45535</v>
      </c>
      <c r="C71" s="2" t="s">
        <v>44</v>
      </c>
      <c r="D71" s="2" t="s">
        <v>45</v>
      </c>
      <c r="E71" s="2" t="s">
        <v>115</v>
      </c>
      <c r="F71" s="2" t="s">
        <v>121</v>
      </c>
      <c r="G71" s="3"/>
      <c r="H71" s="2" t="s">
        <v>122</v>
      </c>
      <c r="I71" s="4">
        <f>G68+G69</f>
        <v>5816014</v>
      </c>
      <c r="J71" s="2" t="s">
        <v>123</v>
      </c>
      <c r="K71" s="2" t="s">
        <v>97</v>
      </c>
      <c r="L71" s="2" t="s">
        <v>124</v>
      </c>
      <c r="M71" s="2" t="s">
        <v>154</v>
      </c>
      <c r="N71" s="2" t="s">
        <v>125</v>
      </c>
      <c r="O71" s="6" t="s">
        <v>155</v>
      </c>
      <c r="P71" s="2" t="s">
        <v>102</v>
      </c>
    </row>
    <row r="72" spans="1:16" ht="23">
      <c r="A72" s="2" t="s">
        <v>153</v>
      </c>
      <c r="B72" s="5">
        <v>45535</v>
      </c>
      <c r="C72" s="2" t="s">
        <v>44</v>
      </c>
      <c r="D72" s="2" t="s">
        <v>45</v>
      </c>
      <c r="E72" s="2" t="s">
        <v>94</v>
      </c>
      <c r="F72" s="2" t="s">
        <v>127</v>
      </c>
      <c r="G72" s="3">
        <v>64896464</v>
      </c>
      <c r="H72" s="2" t="s">
        <v>127</v>
      </c>
      <c r="I72" s="4">
        <f t="shared" ref="I72:I79" si="8">G72</f>
        <v>64896464</v>
      </c>
      <c r="J72" s="2" t="s">
        <v>128</v>
      </c>
      <c r="K72" s="2" t="s">
        <v>97</v>
      </c>
      <c r="L72" s="2" t="s">
        <v>129</v>
      </c>
      <c r="M72" s="2" t="s">
        <v>154</v>
      </c>
      <c r="N72" s="2" t="s">
        <v>130</v>
      </c>
      <c r="O72" s="6" t="s">
        <v>155</v>
      </c>
      <c r="P72" s="2" t="s">
        <v>102</v>
      </c>
    </row>
    <row r="73" spans="1:16" ht="23">
      <c r="A73" s="2" t="s">
        <v>153</v>
      </c>
      <c r="B73" s="5">
        <v>45535</v>
      </c>
      <c r="C73" s="2" t="s">
        <v>44</v>
      </c>
      <c r="D73" s="2" t="s">
        <v>45</v>
      </c>
      <c r="E73" s="2" t="s">
        <v>94</v>
      </c>
      <c r="F73" s="2" t="s">
        <v>131</v>
      </c>
      <c r="G73" s="3">
        <v>43734147</v>
      </c>
      <c r="H73" s="2" t="s">
        <v>132</v>
      </c>
      <c r="I73" s="4">
        <f t="shared" si="8"/>
        <v>43734147</v>
      </c>
      <c r="J73" s="2" t="s">
        <v>128</v>
      </c>
      <c r="K73" s="2" t="s">
        <v>97</v>
      </c>
      <c r="L73" s="2" t="s">
        <v>129</v>
      </c>
      <c r="M73" s="2" t="s">
        <v>154</v>
      </c>
      <c r="N73" s="2" t="s">
        <v>130</v>
      </c>
      <c r="O73" s="6" t="s">
        <v>155</v>
      </c>
      <c r="P73" s="2" t="s">
        <v>102</v>
      </c>
    </row>
    <row r="74" spans="1:16" ht="23">
      <c r="A74" s="2" t="s">
        <v>153</v>
      </c>
      <c r="B74" s="5">
        <v>45535</v>
      </c>
      <c r="C74" s="2" t="s">
        <v>44</v>
      </c>
      <c r="D74" s="2" t="s">
        <v>45</v>
      </c>
      <c r="E74" s="2" t="s">
        <v>94</v>
      </c>
      <c r="F74" s="2" t="s">
        <v>133</v>
      </c>
      <c r="G74" s="3">
        <v>9595847</v>
      </c>
      <c r="H74" s="2" t="s">
        <v>134</v>
      </c>
      <c r="I74" s="4">
        <f t="shared" si="8"/>
        <v>9595847</v>
      </c>
      <c r="J74" s="2" t="s">
        <v>128</v>
      </c>
      <c r="K74" s="2" t="s">
        <v>97</v>
      </c>
      <c r="L74" s="2" t="s">
        <v>129</v>
      </c>
      <c r="M74" s="2" t="s">
        <v>154</v>
      </c>
      <c r="N74" s="2" t="s">
        <v>130</v>
      </c>
      <c r="O74" s="6" t="s">
        <v>155</v>
      </c>
      <c r="P74" s="2" t="s">
        <v>102</v>
      </c>
    </row>
    <row r="75" spans="1:16" ht="23">
      <c r="A75" s="2" t="s">
        <v>153</v>
      </c>
      <c r="B75" s="5">
        <v>45535</v>
      </c>
      <c r="C75" s="2" t="s">
        <v>44</v>
      </c>
      <c r="D75" s="2" t="s">
        <v>45</v>
      </c>
      <c r="E75" s="2" t="s">
        <v>94</v>
      </c>
      <c r="F75" s="2" t="s">
        <v>135</v>
      </c>
      <c r="G75" s="3">
        <v>7419197</v>
      </c>
      <c r="H75" s="2" t="s">
        <v>135</v>
      </c>
      <c r="I75" s="4">
        <f t="shared" si="8"/>
        <v>7419197</v>
      </c>
      <c r="J75" s="2" t="s">
        <v>128</v>
      </c>
      <c r="K75" s="2" t="s">
        <v>97</v>
      </c>
      <c r="L75" s="2" t="s">
        <v>129</v>
      </c>
      <c r="M75" s="2" t="s">
        <v>154</v>
      </c>
      <c r="N75" s="2" t="s">
        <v>130</v>
      </c>
      <c r="O75" s="6" t="s">
        <v>155</v>
      </c>
      <c r="P75" s="2" t="s">
        <v>102</v>
      </c>
    </row>
    <row r="76" spans="1:16" ht="23">
      <c r="A76" s="2" t="s">
        <v>153</v>
      </c>
      <c r="B76" s="5">
        <v>45535</v>
      </c>
      <c r="C76" s="2" t="s">
        <v>44</v>
      </c>
      <c r="D76" s="2" t="s">
        <v>45</v>
      </c>
      <c r="E76" s="2" t="s">
        <v>94</v>
      </c>
      <c r="F76" s="2" t="s">
        <v>136</v>
      </c>
      <c r="G76" s="3">
        <v>9131027</v>
      </c>
      <c r="H76" s="2" t="s">
        <v>136</v>
      </c>
      <c r="I76" s="4">
        <f t="shared" si="8"/>
        <v>9131027</v>
      </c>
      <c r="J76" s="2" t="s">
        <v>128</v>
      </c>
      <c r="K76" s="2" t="s">
        <v>97</v>
      </c>
      <c r="L76" s="2" t="s">
        <v>129</v>
      </c>
      <c r="M76" s="2" t="s">
        <v>154</v>
      </c>
      <c r="N76" s="2" t="s">
        <v>130</v>
      </c>
      <c r="O76" s="6" t="s">
        <v>155</v>
      </c>
      <c r="P76" s="2" t="s">
        <v>102</v>
      </c>
    </row>
    <row r="77" spans="1:16" ht="23">
      <c r="A77" s="2" t="s">
        <v>153</v>
      </c>
      <c r="B77" s="5">
        <v>45535</v>
      </c>
      <c r="C77" s="2" t="s">
        <v>44</v>
      </c>
      <c r="D77" s="2" t="s">
        <v>45</v>
      </c>
      <c r="E77" s="2" t="s">
        <v>94</v>
      </c>
      <c r="F77" s="2" t="s">
        <v>137</v>
      </c>
      <c r="G77" s="3">
        <v>547935</v>
      </c>
      <c r="H77" s="2" t="s">
        <v>137</v>
      </c>
      <c r="I77" s="4">
        <f t="shared" si="8"/>
        <v>547935</v>
      </c>
      <c r="J77" s="2" t="s">
        <v>128</v>
      </c>
      <c r="K77" s="2" t="s">
        <v>97</v>
      </c>
      <c r="L77" s="2" t="s">
        <v>129</v>
      </c>
      <c r="M77" s="2" t="s">
        <v>154</v>
      </c>
      <c r="N77" s="2" t="s">
        <v>130</v>
      </c>
      <c r="O77" s="6" t="s">
        <v>155</v>
      </c>
      <c r="P77" s="2" t="s">
        <v>102</v>
      </c>
    </row>
    <row r="78" spans="1:16" ht="23">
      <c r="A78" s="2" t="s">
        <v>153</v>
      </c>
      <c r="B78" s="5">
        <v>45535</v>
      </c>
      <c r="C78" s="2" t="s">
        <v>44</v>
      </c>
      <c r="D78" s="2" t="s">
        <v>45</v>
      </c>
      <c r="E78" s="2" t="s">
        <v>94</v>
      </c>
      <c r="F78" s="2" t="s">
        <v>138</v>
      </c>
      <c r="G78" s="3">
        <v>352045</v>
      </c>
      <c r="H78" s="2" t="s">
        <v>139</v>
      </c>
      <c r="I78" s="4">
        <f t="shared" si="8"/>
        <v>352045</v>
      </c>
      <c r="J78" s="2" t="s">
        <v>128</v>
      </c>
      <c r="K78" s="2" t="s">
        <v>97</v>
      </c>
      <c r="L78" s="2" t="s">
        <v>129</v>
      </c>
      <c r="M78" s="2" t="s">
        <v>154</v>
      </c>
      <c r="N78" s="2" t="s">
        <v>130</v>
      </c>
      <c r="O78" s="6" t="s">
        <v>155</v>
      </c>
      <c r="P78" s="2" t="s">
        <v>102</v>
      </c>
    </row>
    <row r="79" spans="1:16" ht="23">
      <c r="A79" s="2" t="s">
        <v>153</v>
      </c>
      <c r="B79" s="5">
        <v>45535</v>
      </c>
      <c r="C79" s="2" t="s">
        <v>44</v>
      </c>
      <c r="D79" s="2" t="s">
        <v>45</v>
      </c>
      <c r="E79" s="2" t="s">
        <v>94</v>
      </c>
      <c r="F79" s="2" t="s">
        <v>140</v>
      </c>
      <c r="G79" s="3">
        <v>530062</v>
      </c>
      <c r="H79" s="2" t="s">
        <v>139</v>
      </c>
      <c r="I79" s="4">
        <f t="shared" si="8"/>
        <v>530062</v>
      </c>
      <c r="J79" s="2" t="s">
        <v>128</v>
      </c>
      <c r="K79" s="2" t="s">
        <v>97</v>
      </c>
      <c r="L79" s="2" t="s">
        <v>129</v>
      </c>
      <c r="M79" s="2" t="s">
        <v>154</v>
      </c>
      <c r="N79" s="2" t="s">
        <v>130</v>
      </c>
      <c r="O79" s="6" t="s">
        <v>155</v>
      </c>
      <c r="P79" s="2" t="s">
        <v>102</v>
      </c>
    </row>
    <row r="80" spans="1:16" ht="23">
      <c r="A80" s="2" t="s">
        <v>153</v>
      </c>
      <c r="B80" s="5">
        <v>45535</v>
      </c>
      <c r="C80" s="2" t="s">
        <v>44</v>
      </c>
      <c r="D80" s="2" t="s">
        <v>45</v>
      </c>
      <c r="E80" s="2" t="s">
        <v>141</v>
      </c>
      <c r="F80" s="2" t="s">
        <v>142</v>
      </c>
      <c r="G80" s="3"/>
      <c r="H80" s="2" t="s">
        <v>143</v>
      </c>
      <c r="I80" s="4">
        <f>G78+G79</f>
        <v>882107</v>
      </c>
      <c r="J80" s="2" t="s">
        <v>144</v>
      </c>
      <c r="K80" s="2" t="s">
        <v>97</v>
      </c>
      <c r="L80" s="2" t="s">
        <v>145</v>
      </c>
      <c r="M80" s="2" t="s">
        <v>154</v>
      </c>
      <c r="N80" s="2" t="s">
        <v>146</v>
      </c>
      <c r="O80" s="6" t="s">
        <v>155</v>
      </c>
      <c r="P80" s="2" t="s">
        <v>102</v>
      </c>
    </row>
    <row r="81" spans="1:16" ht="23">
      <c r="A81" s="2" t="s">
        <v>156</v>
      </c>
      <c r="B81" s="5">
        <v>45900</v>
      </c>
      <c r="C81" s="2" t="s">
        <v>44</v>
      </c>
      <c r="D81" s="2" t="s">
        <v>45</v>
      </c>
      <c r="E81" s="2" t="s">
        <v>94</v>
      </c>
      <c r="F81" s="2" t="s">
        <v>95</v>
      </c>
      <c r="G81" s="3">
        <v>13065433</v>
      </c>
      <c r="H81" s="2" t="s">
        <v>95</v>
      </c>
      <c r="I81" s="4">
        <f t="shared" ref="I81:I86" si="9">G81</f>
        <v>13065433</v>
      </c>
      <c r="J81" s="2" t="s">
        <v>96</v>
      </c>
      <c r="K81" s="2" t="s">
        <v>97</v>
      </c>
      <c r="L81" s="2" t="s">
        <v>98</v>
      </c>
      <c r="M81" s="2" t="s">
        <v>157</v>
      </c>
      <c r="N81" s="2" t="s">
        <v>100</v>
      </c>
      <c r="O81" s="6" t="s">
        <v>158</v>
      </c>
      <c r="P81" s="2" t="s">
        <v>102</v>
      </c>
    </row>
    <row r="82" spans="1:16" ht="23">
      <c r="A82" s="2" t="s">
        <v>156</v>
      </c>
      <c r="B82" s="5">
        <v>45900</v>
      </c>
      <c r="C82" s="2" t="s">
        <v>44</v>
      </c>
      <c r="D82" s="2" t="s">
        <v>45</v>
      </c>
      <c r="E82" s="2" t="s">
        <v>94</v>
      </c>
      <c r="F82" s="2" t="s">
        <v>103</v>
      </c>
      <c r="G82" s="3">
        <v>1919640</v>
      </c>
      <c r="H82" s="2" t="s">
        <v>104</v>
      </c>
      <c r="I82" s="4">
        <f t="shared" si="9"/>
        <v>1919640</v>
      </c>
      <c r="J82" s="2" t="s">
        <v>105</v>
      </c>
      <c r="K82" s="2" t="s">
        <v>97</v>
      </c>
      <c r="L82" s="2" t="s">
        <v>98</v>
      </c>
      <c r="M82" s="2" t="s">
        <v>157</v>
      </c>
      <c r="N82" s="2" t="s">
        <v>100</v>
      </c>
      <c r="O82" s="6" t="s">
        <v>158</v>
      </c>
      <c r="P82" s="2" t="s">
        <v>102</v>
      </c>
    </row>
    <row r="83" spans="1:16" ht="23">
      <c r="A83" s="2" t="s">
        <v>156</v>
      </c>
      <c r="B83" s="5">
        <v>45900</v>
      </c>
      <c r="C83" s="2" t="s">
        <v>44</v>
      </c>
      <c r="D83" s="2" t="s">
        <v>45</v>
      </c>
      <c r="E83" s="2" t="s">
        <v>94</v>
      </c>
      <c r="F83" s="2" t="s">
        <v>106</v>
      </c>
      <c r="G83" s="3">
        <v>180362</v>
      </c>
      <c r="H83" s="2" t="s">
        <v>107</v>
      </c>
      <c r="I83" s="4">
        <f t="shared" si="9"/>
        <v>180362</v>
      </c>
      <c r="J83" s="2" t="s">
        <v>105</v>
      </c>
      <c r="K83" s="2" t="s">
        <v>97</v>
      </c>
      <c r="L83" s="2" t="s">
        <v>98</v>
      </c>
      <c r="M83" s="2" t="s">
        <v>157</v>
      </c>
      <c r="N83" s="2" t="s">
        <v>100</v>
      </c>
      <c r="O83" s="6" t="s">
        <v>158</v>
      </c>
      <c r="P83" s="2" t="s">
        <v>102</v>
      </c>
    </row>
    <row r="84" spans="1:16" ht="23">
      <c r="A84" s="2" t="s">
        <v>156</v>
      </c>
      <c r="B84" s="5">
        <v>45900</v>
      </c>
      <c r="C84" s="2" t="s">
        <v>44</v>
      </c>
      <c r="D84" s="2" t="s">
        <v>45</v>
      </c>
      <c r="E84" s="2" t="s">
        <v>94</v>
      </c>
      <c r="F84" s="2" t="s">
        <v>108</v>
      </c>
      <c r="G84" s="3">
        <v>2695589</v>
      </c>
      <c r="H84" s="2" t="s">
        <v>108</v>
      </c>
      <c r="I84" s="4">
        <f t="shared" si="9"/>
        <v>2695589</v>
      </c>
      <c r="J84" s="2" t="s">
        <v>109</v>
      </c>
      <c r="K84" s="2" t="s">
        <v>97</v>
      </c>
      <c r="L84" s="2" t="s">
        <v>98</v>
      </c>
      <c r="M84" s="2" t="s">
        <v>157</v>
      </c>
      <c r="N84" s="2" t="s">
        <v>100</v>
      </c>
      <c r="O84" s="6" t="s">
        <v>158</v>
      </c>
      <c r="P84" s="2" t="s">
        <v>102</v>
      </c>
    </row>
    <row r="85" spans="1:16" ht="23">
      <c r="A85" s="2" t="s">
        <v>156</v>
      </c>
      <c r="B85" s="5">
        <v>45900</v>
      </c>
      <c r="C85" s="2" t="s">
        <v>44</v>
      </c>
      <c r="D85" s="2" t="s">
        <v>45</v>
      </c>
      <c r="E85" s="2" t="s">
        <v>94</v>
      </c>
      <c r="F85" s="2" t="s">
        <v>110</v>
      </c>
      <c r="G85" s="3">
        <v>6073170</v>
      </c>
      <c r="H85" s="2" t="s">
        <v>111</v>
      </c>
      <c r="I85" s="4">
        <f t="shared" si="9"/>
        <v>6073170</v>
      </c>
      <c r="J85" s="2" t="s">
        <v>112</v>
      </c>
      <c r="K85" s="2" t="s">
        <v>97</v>
      </c>
      <c r="L85" s="2" t="s">
        <v>98</v>
      </c>
      <c r="M85" s="2" t="s">
        <v>157</v>
      </c>
      <c r="N85" s="2" t="s">
        <v>100</v>
      </c>
      <c r="O85" s="6" t="s">
        <v>158</v>
      </c>
      <c r="P85" s="2" t="s">
        <v>102</v>
      </c>
    </row>
    <row r="86" spans="1:16" ht="23">
      <c r="A86" s="2" t="s">
        <v>156</v>
      </c>
      <c r="B86" s="5">
        <v>45900</v>
      </c>
      <c r="C86" s="2" t="s">
        <v>44</v>
      </c>
      <c r="D86" s="2" t="s">
        <v>45</v>
      </c>
      <c r="E86" s="2" t="s">
        <v>94</v>
      </c>
      <c r="F86" s="2" t="s">
        <v>113</v>
      </c>
      <c r="G86" s="3">
        <v>642361</v>
      </c>
      <c r="H86" s="2" t="s">
        <v>114</v>
      </c>
      <c r="I86" s="4">
        <f t="shared" si="9"/>
        <v>642361</v>
      </c>
      <c r="J86" s="2" t="s">
        <v>112</v>
      </c>
      <c r="K86" s="2" t="s">
        <v>97</v>
      </c>
      <c r="L86" s="2" t="s">
        <v>98</v>
      </c>
      <c r="M86" s="2" t="s">
        <v>157</v>
      </c>
      <c r="N86" s="2" t="s">
        <v>100</v>
      </c>
      <c r="O86" s="6" t="s">
        <v>158</v>
      </c>
      <c r="P86" s="2" t="s">
        <v>102</v>
      </c>
    </row>
    <row r="87" spans="1:16" ht="23">
      <c r="A87" s="2" t="s">
        <v>156</v>
      </c>
      <c r="B87" s="5">
        <v>45900</v>
      </c>
      <c r="C87" s="2" t="s">
        <v>44</v>
      </c>
      <c r="D87" s="2" t="s">
        <v>45</v>
      </c>
      <c r="E87" s="2" t="s">
        <v>115</v>
      </c>
      <c r="F87" s="2" t="s">
        <v>116</v>
      </c>
      <c r="G87" s="3"/>
      <c r="H87" s="2" t="s">
        <v>117</v>
      </c>
      <c r="I87" s="4">
        <f>G82+G83</f>
        <v>2100002</v>
      </c>
      <c r="J87" s="2" t="s">
        <v>118</v>
      </c>
      <c r="K87" s="2" t="s">
        <v>97</v>
      </c>
      <c r="L87" s="2" t="s">
        <v>119</v>
      </c>
      <c r="M87" s="2" t="s">
        <v>157</v>
      </c>
      <c r="N87" s="2" t="s">
        <v>120</v>
      </c>
      <c r="O87" s="6" t="s">
        <v>158</v>
      </c>
      <c r="P87" s="2" t="s">
        <v>102</v>
      </c>
    </row>
    <row r="88" spans="1:16" ht="23">
      <c r="A88" s="2" t="s">
        <v>156</v>
      </c>
      <c r="B88" s="5">
        <v>45900</v>
      </c>
      <c r="C88" s="2" t="s">
        <v>44</v>
      </c>
      <c r="D88" s="2" t="s">
        <v>45</v>
      </c>
      <c r="E88" s="2" t="s">
        <v>115</v>
      </c>
      <c r="F88" s="2" t="s">
        <v>121</v>
      </c>
      <c r="G88" s="3"/>
      <c r="H88" s="2" t="s">
        <v>122</v>
      </c>
      <c r="I88" s="4">
        <f>G85+G86</f>
        <v>6715531</v>
      </c>
      <c r="J88" s="2" t="s">
        <v>123</v>
      </c>
      <c r="K88" s="2" t="s">
        <v>97</v>
      </c>
      <c r="L88" s="2" t="s">
        <v>124</v>
      </c>
      <c r="M88" s="2" t="s">
        <v>157</v>
      </c>
      <c r="N88" s="2" t="s">
        <v>125</v>
      </c>
      <c r="O88" s="6" t="s">
        <v>158</v>
      </c>
      <c r="P88" s="2" t="s">
        <v>102</v>
      </c>
    </row>
    <row r="89" spans="1:16" ht="23">
      <c r="A89" s="2" t="s">
        <v>156</v>
      </c>
      <c r="B89" s="5">
        <v>45900</v>
      </c>
      <c r="C89" s="2" t="s">
        <v>44</v>
      </c>
      <c r="D89" s="2" t="s">
        <v>45</v>
      </c>
      <c r="E89" s="2" t="s">
        <v>94</v>
      </c>
      <c r="F89" s="2" t="s">
        <v>127</v>
      </c>
      <c r="G89" s="3">
        <v>69672977</v>
      </c>
      <c r="H89" s="2" t="s">
        <v>127</v>
      </c>
      <c r="I89" s="4">
        <f t="shared" ref="I89:I96" si="10">G89</f>
        <v>69672977</v>
      </c>
      <c r="J89" s="2" t="s">
        <v>128</v>
      </c>
      <c r="K89" s="2" t="s">
        <v>97</v>
      </c>
      <c r="L89" s="2" t="s">
        <v>129</v>
      </c>
      <c r="M89" s="2" t="s">
        <v>157</v>
      </c>
      <c r="N89" s="2" t="s">
        <v>130</v>
      </c>
      <c r="O89" s="6" t="s">
        <v>158</v>
      </c>
      <c r="P89" s="2" t="s">
        <v>102</v>
      </c>
    </row>
    <row r="90" spans="1:16" ht="23">
      <c r="A90" s="2" t="s">
        <v>156</v>
      </c>
      <c r="B90" s="5">
        <v>45900</v>
      </c>
      <c r="C90" s="2" t="s">
        <v>44</v>
      </c>
      <c r="D90" s="2" t="s">
        <v>45</v>
      </c>
      <c r="E90" s="2" t="s">
        <v>94</v>
      </c>
      <c r="F90" s="2" t="s">
        <v>131</v>
      </c>
      <c r="G90" s="3">
        <v>47437576</v>
      </c>
      <c r="H90" s="2" t="s">
        <v>132</v>
      </c>
      <c r="I90" s="4">
        <f t="shared" si="10"/>
        <v>47437576</v>
      </c>
      <c r="J90" s="2" t="s">
        <v>128</v>
      </c>
      <c r="K90" s="2" t="s">
        <v>97</v>
      </c>
      <c r="L90" s="2" t="s">
        <v>129</v>
      </c>
      <c r="M90" s="2" t="s">
        <v>157</v>
      </c>
      <c r="N90" s="2" t="s">
        <v>130</v>
      </c>
      <c r="O90" s="6" t="s">
        <v>158</v>
      </c>
      <c r="P90" s="2" t="s">
        <v>102</v>
      </c>
    </row>
    <row r="91" spans="1:16" ht="23">
      <c r="A91" s="2" t="s">
        <v>156</v>
      </c>
      <c r="B91" s="5">
        <v>45900</v>
      </c>
      <c r="C91" s="2" t="s">
        <v>44</v>
      </c>
      <c r="D91" s="2" t="s">
        <v>45</v>
      </c>
      <c r="E91" s="2" t="s">
        <v>94</v>
      </c>
      <c r="F91" s="2" t="s">
        <v>133</v>
      </c>
      <c r="G91" s="3">
        <v>10225664</v>
      </c>
      <c r="H91" s="2" t="s">
        <v>134</v>
      </c>
      <c r="I91" s="4">
        <f t="shared" si="10"/>
        <v>10225664</v>
      </c>
      <c r="J91" s="2" t="s">
        <v>128</v>
      </c>
      <c r="K91" s="2" t="s">
        <v>97</v>
      </c>
      <c r="L91" s="2" t="s">
        <v>129</v>
      </c>
      <c r="M91" s="2" t="s">
        <v>157</v>
      </c>
      <c r="N91" s="2" t="s">
        <v>130</v>
      </c>
      <c r="O91" s="6" t="s">
        <v>158</v>
      </c>
      <c r="P91" s="2" t="s">
        <v>102</v>
      </c>
    </row>
    <row r="92" spans="1:16" ht="23">
      <c r="A92" s="2" t="s">
        <v>156</v>
      </c>
      <c r="B92" s="5">
        <v>45900</v>
      </c>
      <c r="C92" s="2" t="s">
        <v>44</v>
      </c>
      <c r="D92" s="2" t="s">
        <v>45</v>
      </c>
      <c r="E92" s="2" t="s">
        <v>94</v>
      </c>
      <c r="F92" s="2" t="s">
        <v>135</v>
      </c>
      <c r="G92" s="3">
        <v>7832400</v>
      </c>
      <c r="H92" s="2" t="s">
        <v>135</v>
      </c>
      <c r="I92" s="4">
        <f t="shared" si="10"/>
        <v>7832400</v>
      </c>
      <c r="J92" s="2" t="s">
        <v>128</v>
      </c>
      <c r="K92" s="2" t="s">
        <v>97</v>
      </c>
      <c r="L92" s="2" t="s">
        <v>129</v>
      </c>
      <c r="M92" s="2" t="s">
        <v>157</v>
      </c>
      <c r="N92" s="2" t="s">
        <v>130</v>
      </c>
      <c r="O92" s="6" t="s">
        <v>158</v>
      </c>
      <c r="P92" s="2" t="s">
        <v>102</v>
      </c>
    </row>
    <row r="93" spans="1:16" ht="23">
      <c r="A93" s="2" t="s">
        <v>156</v>
      </c>
      <c r="B93" s="5">
        <v>45900</v>
      </c>
      <c r="C93" s="2" t="s">
        <v>44</v>
      </c>
      <c r="D93" s="2" t="s">
        <v>45</v>
      </c>
      <c r="E93" s="2" t="s">
        <v>94</v>
      </c>
      <c r="F93" s="2" t="s">
        <v>136</v>
      </c>
      <c r="G93" s="3">
        <v>11474399</v>
      </c>
      <c r="H93" s="2" t="s">
        <v>136</v>
      </c>
      <c r="I93" s="4">
        <f t="shared" si="10"/>
        <v>11474399</v>
      </c>
      <c r="J93" s="2" t="s">
        <v>128</v>
      </c>
      <c r="K93" s="2" t="s">
        <v>97</v>
      </c>
      <c r="L93" s="2" t="s">
        <v>129</v>
      </c>
      <c r="M93" s="2" t="s">
        <v>157</v>
      </c>
      <c r="N93" s="2" t="s">
        <v>130</v>
      </c>
      <c r="O93" s="6" t="s">
        <v>158</v>
      </c>
      <c r="P93" s="2" t="s">
        <v>102</v>
      </c>
    </row>
    <row r="94" spans="1:16" ht="23">
      <c r="A94" s="2" t="s">
        <v>156</v>
      </c>
      <c r="B94" s="5">
        <v>45900</v>
      </c>
      <c r="C94" s="2" t="s">
        <v>44</v>
      </c>
      <c r="D94" s="2" t="s">
        <v>45</v>
      </c>
      <c r="E94" s="2" t="s">
        <v>94</v>
      </c>
      <c r="F94" s="2" t="s">
        <v>137</v>
      </c>
      <c r="G94" s="3">
        <v>622493</v>
      </c>
      <c r="H94" s="2" t="s">
        <v>137</v>
      </c>
      <c r="I94" s="4">
        <f t="shared" si="10"/>
        <v>622493</v>
      </c>
      <c r="J94" s="2" t="s">
        <v>128</v>
      </c>
      <c r="K94" s="2" t="s">
        <v>97</v>
      </c>
      <c r="L94" s="2" t="s">
        <v>129</v>
      </c>
      <c r="M94" s="2" t="s">
        <v>157</v>
      </c>
      <c r="N94" s="2" t="s">
        <v>130</v>
      </c>
      <c r="O94" s="6" t="s">
        <v>158</v>
      </c>
      <c r="P94" s="2" t="s">
        <v>102</v>
      </c>
    </row>
    <row r="95" spans="1:16" ht="23">
      <c r="A95" s="2" t="s">
        <v>156</v>
      </c>
      <c r="B95" s="5">
        <v>45900</v>
      </c>
      <c r="C95" s="2" t="s">
        <v>44</v>
      </c>
      <c r="D95" s="2" t="s">
        <v>45</v>
      </c>
      <c r="E95" s="2" t="s">
        <v>94</v>
      </c>
      <c r="F95" s="2" t="s">
        <v>138</v>
      </c>
      <c r="G95" s="3">
        <v>337072</v>
      </c>
      <c r="H95" s="2" t="s">
        <v>139</v>
      </c>
      <c r="I95" s="4">
        <f t="shared" si="10"/>
        <v>337072</v>
      </c>
      <c r="J95" s="2" t="s">
        <v>128</v>
      </c>
      <c r="K95" s="2" t="s">
        <v>97</v>
      </c>
      <c r="L95" s="2" t="s">
        <v>129</v>
      </c>
      <c r="M95" s="2" t="s">
        <v>157</v>
      </c>
      <c r="N95" s="2" t="s">
        <v>130</v>
      </c>
      <c r="O95" s="6" t="s">
        <v>158</v>
      </c>
      <c r="P95" s="2" t="s">
        <v>102</v>
      </c>
    </row>
    <row r="96" spans="1:16" ht="23">
      <c r="A96" s="2" t="s">
        <v>156</v>
      </c>
      <c r="B96" s="5">
        <v>45900</v>
      </c>
      <c r="C96" s="2" t="s">
        <v>44</v>
      </c>
      <c r="D96" s="2" t="s">
        <v>45</v>
      </c>
      <c r="E96" s="2" t="s">
        <v>94</v>
      </c>
      <c r="F96" s="2" t="s">
        <v>140</v>
      </c>
      <c r="G96" s="3">
        <v>745892</v>
      </c>
      <c r="H96" s="2" t="s">
        <v>139</v>
      </c>
      <c r="I96" s="4">
        <f t="shared" si="10"/>
        <v>745892</v>
      </c>
      <c r="J96" s="2" t="s">
        <v>128</v>
      </c>
      <c r="K96" s="2" t="s">
        <v>97</v>
      </c>
      <c r="L96" s="2" t="s">
        <v>129</v>
      </c>
      <c r="M96" s="2" t="s">
        <v>157</v>
      </c>
      <c r="N96" s="2" t="s">
        <v>130</v>
      </c>
      <c r="O96" s="6" t="s">
        <v>158</v>
      </c>
      <c r="P96" s="2" t="s">
        <v>102</v>
      </c>
    </row>
    <row r="97" spans="1:16" ht="23">
      <c r="A97" s="2" t="s">
        <v>156</v>
      </c>
      <c r="B97" s="5">
        <v>45900</v>
      </c>
      <c r="C97" s="2" t="s">
        <v>44</v>
      </c>
      <c r="D97" s="2" t="s">
        <v>45</v>
      </c>
      <c r="E97" s="2" t="s">
        <v>141</v>
      </c>
      <c r="F97" s="2" t="s">
        <v>142</v>
      </c>
      <c r="G97" s="3"/>
      <c r="H97" s="2" t="s">
        <v>143</v>
      </c>
      <c r="I97" s="4">
        <f>G95+G96</f>
        <v>1082964</v>
      </c>
      <c r="J97" s="2" t="s">
        <v>144</v>
      </c>
      <c r="K97" s="2" t="s">
        <v>97</v>
      </c>
      <c r="L97" s="2" t="s">
        <v>145</v>
      </c>
      <c r="M97" s="2" t="s">
        <v>157</v>
      </c>
      <c r="N97" s="2" t="s">
        <v>146</v>
      </c>
      <c r="O97" s="6" t="s">
        <v>158</v>
      </c>
      <c r="P97" s="2" t="s">
        <v>102</v>
      </c>
    </row>
    <row r="98" spans="1:16">
      <c r="A98" s="2" t="s">
        <v>159</v>
      </c>
      <c r="B98" s="5"/>
      <c r="C98" s="2" t="s">
        <v>44</v>
      </c>
      <c r="D98" s="2" t="s">
        <v>45</v>
      </c>
      <c r="E98" s="2" t="s">
        <v>160</v>
      </c>
      <c r="F98" s="2" t="s">
        <v>161</v>
      </c>
      <c r="G98" s="3"/>
      <c r="H98" s="2" t="s">
        <v>162</v>
      </c>
      <c r="I98" s="4"/>
      <c r="J98" s="2" t="s">
        <v>163</v>
      </c>
      <c r="K98" s="2" t="s">
        <v>97</v>
      </c>
      <c r="L98" s="2" t="s">
        <v>164</v>
      </c>
      <c r="M98" s="2" t="s">
        <v>165</v>
      </c>
      <c r="N98" s="2" t="s">
        <v>166</v>
      </c>
      <c r="O98" s="6"/>
      <c r="P98" s="2" t="s">
        <v>167</v>
      </c>
    </row>
  </sheetData>
  <mergeCells count="2">
    <mergeCell ref="A1:P1"/>
    <mergeCell ref="A2:P2"/>
  </mergeCells>
  <conditionalFormatting sqref="K5:K98">
    <cfRule type="expression" dxfId="21" priority="1">
      <formula>K5="Yes"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workbookViewId="0">
      <selection sqref="A1:P1"/>
    </sheetView>
  </sheetViews>
  <sheetFormatPr defaultRowHeight="14"/>
  <cols>
    <col min="1" max="1" width="10" customWidth="1"/>
    <col min="2" max="2" width="14" customWidth="1"/>
    <col min="3" max="3" width="12" customWidth="1"/>
    <col min="4" max="4" width="13" customWidth="1"/>
    <col min="5" max="5" width="16" customWidth="1"/>
    <col min="6" max="6" width="31" customWidth="1"/>
    <col min="7" max="7" width="17" customWidth="1"/>
    <col min="8" max="8" width="26" customWidth="1"/>
    <col min="9" max="9" width="19" customWidth="1"/>
    <col min="10" max="10" width="36" customWidth="1"/>
    <col min="11" max="11" width="15" customWidth="1"/>
    <col min="12" max="12" width="46" customWidth="1"/>
    <col min="13" max="13" width="30" customWidth="1"/>
    <col min="14" max="14" width="28" customWidth="1"/>
    <col min="15" max="15" width="44" customWidth="1"/>
    <col min="16" max="16" width="12" customWidth="1"/>
  </cols>
  <sheetData>
    <row r="1" spans="1:16" ht="17.399999999999999" customHeight="1">
      <c r="A1" s="13" t="s">
        <v>168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16" customHeight="1">
      <c r="A2" s="14" t="s">
        <v>169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4" spans="1:16" ht="20" customHeight="1">
      <c r="A4" s="1" t="s">
        <v>78</v>
      </c>
      <c r="B4" s="1" t="s">
        <v>79</v>
      </c>
      <c r="C4" s="1" t="s">
        <v>80</v>
      </c>
      <c r="D4" s="1" t="s">
        <v>35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92</v>
      </c>
    </row>
    <row r="5" spans="1:16" ht="23">
      <c r="A5" s="2" t="s">
        <v>170</v>
      </c>
      <c r="B5" s="5">
        <v>43830</v>
      </c>
      <c r="C5" s="2" t="s">
        <v>54</v>
      </c>
      <c r="D5" s="2" t="s">
        <v>55</v>
      </c>
      <c r="E5" s="2" t="s">
        <v>94</v>
      </c>
      <c r="F5" s="2" t="s">
        <v>95</v>
      </c>
      <c r="G5" s="3">
        <v>2140</v>
      </c>
      <c r="H5" s="2" t="s">
        <v>95</v>
      </c>
      <c r="I5" s="4">
        <f t="shared" ref="I5:I36" si="0">G5</f>
        <v>2140</v>
      </c>
      <c r="J5" s="2" t="s">
        <v>171</v>
      </c>
      <c r="K5" s="2" t="s">
        <v>97</v>
      </c>
      <c r="L5" s="2" t="s">
        <v>172</v>
      </c>
      <c r="M5" s="2" t="s">
        <v>173</v>
      </c>
      <c r="N5" s="2" t="s">
        <v>174</v>
      </c>
      <c r="O5" s="6" t="s">
        <v>175</v>
      </c>
      <c r="P5" s="2" t="s">
        <v>102</v>
      </c>
    </row>
    <row r="6" spans="1:16" ht="23">
      <c r="A6" s="2" t="s">
        <v>170</v>
      </c>
      <c r="B6" s="5">
        <v>43830</v>
      </c>
      <c r="C6" s="2" t="s">
        <v>54</v>
      </c>
      <c r="D6" s="2" t="s">
        <v>55</v>
      </c>
      <c r="E6" s="2" t="s">
        <v>94</v>
      </c>
      <c r="F6" s="2" t="s">
        <v>117</v>
      </c>
      <c r="G6" s="3">
        <v>1176</v>
      </c>
      <c r="H6" s="2" t="s">
        <v>117</v>
      </c>
      <c r="I6" s="4">
        <f t="shared" si="0"/>
        <v>1176</v>
      </c>
      <c r="J6" s="2" t="s">
        <v>171</v>
      </c>
      <c r="K6" s="2" t="s">
        <v>97</v>
      </c>
      <c r="L6" s="2" t="s">
        <v>172</v>
      </c>
      <c r="M6" s="2" t="s">
        <v>173</v>
      </c>
      <c r="N6" s="2" t="s">
        <v>174</v>
      </c>
      <c r="O6" s="6" t="s">
        <v>175</v>
      </c>
      <c r="P6" s="2" t="s">
        <v>102</v>
      </c>
    </row>
    <row r="7" spans="1:16" ht="23">
      <c r="A7" s="2" t="s">
        <v>170</v>
      </c>
      <c r="B7" s="5">
        <v>43830</v>
      </c>
      <c r="C7" s="2" t="s">
        <v>54</v>
      </c>
      <c r="D7" s="2" t="s">
        <v>55</v>
      </c>
      <c r="E7" s="2" t="s">
        <v>94</v>
      </c>
      <c r="F7" s="2" t="s">
        <v>108</v>
      </c>
      <c r="G7" s="3">
        <v>1149</v>
      </c>
      <c r="H7" s="2" t="s">
        <v>108</v>
      </c>
      <c r="I7" s="4">
        <f t="shared" si="0"/>
        <v>1149</v>
      </c>
      <c r="J7" s="2" t="s">
        <v>171</v>
      </c>
      <c r="K7" s="2" t="s">
        <v>97</v>
      </c>
      <c r="L7" s="2" t="s">
        <v>172</v>
      </c>
      <c r="M7" s="2" t="s">
        <v>173</v>
      </c>
      <c r="N7" s="2" t="s">
        <v>174</v>
      </c>
      <c r="O7" s="6" t="s">
        <v>175</v>
      </c>
      <c r="P7" s="2" t="s">
        <v>102</v>
      </c>
    </row>
    <row r="8" spans="1:16" ht="23">
      <c r="A8" s="2" t="s">
        <v>170</v>
      </c>
      <c r="B8" s="5">
        <v>43830</v>
      </c>
      <c r="C8" s="2" t="s">
        <v>54</v>
      </c>
      <c r="D8" s="2" t="s">
        <v>55</v>
      </c>
      <c r="E8" s="2" t="s">
        <v>94</v>
      </c>
      <c r="F8" s="2" t="s">
        <v>122</v>
      </c>
      <c r="G8" s="3">
        <v>836</v>
      </c>
      <c r="H8" s="2" t="s">
        <v>122</v>
      </c>
      <c r="I8" s="4">
        <f t="shared" si="0"/>
        <v>836</v>
      </c>
      <c r="J8" s="2" t="s">
        <v>171</v>
      </c>
      <c r="K8" s="2" t="s">
        <v>97</v>
      </c>
      <c r="L8" s="2" t="s">
        <v>172</v>
      </c>
      <c r="M8" s="2" t="s">
        <v>173</v>
      </c>
      <c r="N8" s="2" t="s">
        <v>174</v>
      </c>
      <c r="O8" s="6" t="s">
        <v>175</v>
      </c>
      <c r="P8" s="2" t="s">
        <v>102</v>
      </c>
    </row>
    <row r="9" spans="1:16" ht="23">
      <c r="A9" s="2" t="s">
        <v>93</v>
      </c>
      <c r="B9" s="5">
        <v>44196</v>
      </c>
      <c r="C9" s="2" t="s">
        <v>54</v>
      </c>
      <c r="D9" s="2" t="s">
        <v>55</v>
      </c>
      <c r="E9" s="2" t="s">
        <v>94</v>
      </c>
      <c r="F9" s="2" t="s">
        <v>95</v>
      </c>
      <c r="G9" s="3">
        <v>2724</v>
      </c>
      <c r="H9" s="2" t="s">
        <v>95</v>
      </c>
      <c r="I9" s="4">
        <f t="shared" si="0"/>
        <v>2724</v>
      </c>
      <c r="J9" s="2" t="s">
        <v>171</v>
      </c>
      <c r="K9" s="2" t="s">
        <v>97</v>
      </c>
      <c r="L9" s="2" t="s">
        <v>172</v>
      </c>
      <c r="M9" s="2" t="s">
        <v>173</v>
      </c>
      <c r="N9" s="2" t="s">
        <v>174</v>
      </c>
      <c r="O9" s="6" t="s">
        <v>175</v>
      </c>
      <c r="P9" s="2" t="s">
        <v>102</v>
      </c>
    </row>
    <row r="10" spans="1:16" ht="23">
      <c r="A10" s="2" t="s">
        <v>93</v>
      </c>
      <c r="B10" s="5">
        <v>44196</v>
      </c>
      <c r="C10" s="2" t="s">
        <v>54</v>
      </c>
      <c r="D10" s="2" t="s">
        <v>55</v>
      </c>
      <c r="E10" s="2" t="s">
        <v>94</v>
      </c>
      <c r="F10" s="2" t="s">
        <v>117</v>
      </c>
      <c r="G10" s="3">
        <v>1148</v>
      </c>
      <c r="H10" s="2" t="s">
        <v>117</v>
      </c>
      <c r="I10" s="4">
        <f t="shared" si="0"/>
        <v>1148</v>
      </c>
      <c r="J10" s="2" t="s">
        <v>171</v>
      </c>
      <c r="K10" s="2" t="s">
        <v>97</v>
      </c>
      <c r="L10" s="2" t="s">
        <v>172</v>
      </c>
      <c r="M10" s="2" t="s">
        <v>173</v>
      </c>
      <c r="N10" s="2" t="s">
        <v>174</v>
      </c>
      <c r="O10" s="6" t="s">
        <v>175</v>
      </c>
      <c r="P10" s="2" t="s">
        <v>102</v>
      </c>
    </row>
    <row r="11" spans="1:16" ht="23">
      <c r="A11" s="2" t="s">
        <v>93</v>
      </c>
      <c r="B11" s="5">
        <v>44196</v>
      </c>
      <c r="C11" s="2" t="s">
        <v>54</v>
      </c>
      <c r="D11" s="2" t="s">
        <v>55</v>
      </c>
      <c r="E11" s="2" t="s">
        <v>94</v>
      </c>
      <c r="F11" s="2" t="s">
        <v>108</v>
      </c>
      <c r="G11" s="3">
        <v>1209</v>
      </c>
      <c r="H11" s="2" t="s">
        <v>108</v>
      </c>
      <c r="I11" s="4">
        <f t="shared" si="0"/>
        <v>1209</v>
      </c>
      <c r="J11" s="2" t="s">
        <v>171</v>
      </c>
      <c r="K11" s="2" t="s">
        <v>97</v>
      </c>
      <c r="L11" s="2" t="s">
        <v>172</v>
      </c>
      <c r="M11" s="2" t="s">
        <v>173</v>
      </c>
      <c r="N11" s="2" t="s">
        <v>174</v>
      </c>
      <c r="O11" s="6" t="s">
        <v>175</v>
      </c>
      <c r="P11" s="2" t="s">
        <v>102</v>
      </c>
    </row>
    <row r="12" spans="1:16" ht="23">
      <c r="A12" s="2" t="s">
        <v>93</v>
      </c>
      <c r="B12" s="5">
        <v>44196</v>
      </c>
      <c r="C12" s="2" t="s">
        <v>54</v>
      </c>
      <c r="D12" s="2" t="s">
        <v>55</v>
      </c>
      <c r="E12" s="2" t="s">
        <v>94</v>
      </c>
      <c r="F12" s="2" t="s">
        <v>122</v>
      </c>
      <c r="G12" s="3">
        <v>1044</v>
      </c>
      <c r="H12" s="2" t="s">
        <v>122</v>
      </c>
      <c r="I12" s="4">
        <f t="shared" si="0"/>
        <v>1044</v>
      </c>
      <c r="J12" s="2" t="s">
        <v>171</v>
      </c>
      <c r="K12" s="2" t="s">
        <v>97</v>
      </c>
      <c r="L12" s="2" t="s">
        <v>172</v>
      </c>
      <c r="M12" s="2" t="s">
        <v>173</v>
      </c>
      <c r="N12" s="2" t="s">
        <v>174</v>
      </c>
      <c r="O12" s="6" t="s">
        <v>175</v>
      </c>
      <c r="P12" s="2" t="s">
        <v>102</v>
      </c>
    </row>
    <row r="13" spans="1:16" ht="23">
      <c r="A13" s="2" t="s">
        <v>93</v>
      </c>
      <c r="B13" s="5">
        <v>44196</v>
      </c>
      <c r="C13" s="2" t="s">
        <v>54</v>
      </c>
      <c r="D13" s="2" t="s">
        <v>55</v>
      </c>
      <c r="E13" s="2" t="s">
        <v>94</v>
      </c>
      <c r="F13" s="2" t="s">
        <v>127</v>
      </c>
      <c r="G13" s="3">
        <v>15848</v>
      </c>
      <c r="H13" s="2" t="s">
        <v>127</v>
      </c>
      <c r="I13" s="4">
        <f t="shared" si="0"/>
        <v>15848</v>
      </c>
      <c r="J13" s="2" t="s">
        <v>128</v>
      </c>
      <c r="K13" s="2" t="s">
        <v>97</v>
      </c>
      <c r="L13" s="2" t="s">
        <v>176</v>
      </c>
      <c r="M13" s="2" t="s">
        <v>173</v>
      </c>
      <c r="N13" s="2" t="s">
        <v>177</v>
      </c>
      <c r="O13" s="6" t="s">
        <v>175</v>
      </c>
      <c r="P13" s="2" t="s">
        <v>102</v>
      </c>
    </row>
    <row r="14" spans="1:16" ht="23">
      <c r="A14" s="2" t="s">
        <v>93</v>
      </c>
      <c r="B14" s="5">
        <v>44196</v>
      </c>
      <c r="C14" s="2" t="s">
        <v>54</v>
      </c>
      <c r="D14" s="2" t="s">
        <v>55</v>
      </c>
      <c r="E14" s="2" t="s">
        <v>94</v>
      </c>
      <c r="F14" s="2" t="s">
        <v>178</v>
      </c>
      <c r="G14" s="3">
        <v>11712</v>
      </c>
      <c r="H14" s="2" t="s">
        <v>132</v>
      </c>
      <c r="I14" s="4">
        <f t="shared" si="0"/>
        <v>11712</v>
      </c>
      <c r="J14" s="2" t="s">
        <v>128</v>
      </c>
      <c r="K14" s="2" t="s">
        <v>97</v>
      </c>
      <c r="L14" s="2" t="s">
        <v>176</v>
      </c>
      <c r="M14" s="2" t="s">
        <v>173</v>
      </c>
      <c r="N14" s="2" t="s">
        <v>177</v>
      </c>
      <c r="O14" s="6" t="s">
        <v>175</v>
      </c>
      <c r="P14" s="2" t="s">
        <v>102</v>
      </c>
    </row>
    <row r="15" spans="1:16" ht="23">
      <c r="A15" s="2" t="s">
        <v>93</v>
      </c>
      <c r="B15" s="5">
        <v>44196</v>
      </c>
      <c r="C15" s="2" t="s">
        <v>54</v>
      </c>
      <c r="D15" s="2" t="s">
        <v>55</v>
      </c>
      <c r="E15" s="2" t="s">
        <v>94</v>
      </c>
      <c r="F15" s="2" t="s">
        <v>134</v>
      </c>
      <c r="G15" s="3">
        <v>1502</v>
      </c>
      <c r="H15" s="2" t="s">
        <v>134</v>
      </c>
      <c r="I15" s="4">
        <f t="shared" si="0"/>
        <v>1502</v>
      </c>
      <c r="J15" s="2" t="s">
        <v>128</v>
      </c>
      <c r="K15" s="2" t="s">
        <v>97</v>
      </c>
      <c r="L15" s="2" t="s">
        <v>176</v>
      </c>
      <c r="M15" s="2" t="s">
        <v>173</v>
      </c>
      <c r="N15" s="2" t="s">
        <v>177</v>
      </c>
      <c r="O15" s="6" t="s">
        <v>175</v>
      </c>
      <c r="P15" s="2" t="s">
        <v>102</v>
      </c>
    </row>
    <row r="16" spans="1:16" ht="23">
      <c r="A16" s="2" t="s">
        <v>93</v>
      </c>
      <c r="B16" s="5">
        <v>44196</v>
      </c>
      <c r="C16" s="2" t="s">
        <v>54</v>
      </c>
      <c r="D16" s="2" t="s">
        <v>55</v>
      </c>
      <c r="E16" s="2" t="s">
        <v>94</v>
      </c>
      <c r="F16" s="2" t="s">
        <v>135</v>
      </c>
      <c r="G16" s="3">
        <v>957</v>
      </c>
      <c r="H16" s="2" t="s">
        <v>135</v>
      </c>
      <c r="I16" s="4">
        <f t="shared" si="0"/>
        <v>957</v>
      </c>
      <c r="J16" s="2" t="s">
        <v>128</v>
      </c>
      <c r="K16" s="2" t="s">
        <v>97</v>
      </c>
      <c r="L16" s="2" t="s">
        <v>176</v>
      </c>
      <c r="M16" s="2" t="s">
        <v>173</v>
      </c>
      <c r="N16" s="2" t="s">
        <v>177</v>
      </c>
      <c r="O16" s="6" t="s">
        <v>175</v>
      </c>
      <c r="P16" s="2" t="s">
        <v>102</v>
      </c>
    </row>
    <row r="17" spans="1:16" ht="23">
      <c r="A17" s="2" t="s">
        <v>93</v>
      </c>
      <c r="B17" s="5">
        <v>44196</v>
      </c>
      <c r="C17" s="2" t="s">
        <v>54</v>
      </c>
      <c r="D17" s="2" t="s">
        <v>55</v>
      </c>
      <c r="E17" s="2" t="s">
        <v>94</v>
      </c>
      <c r="F17" s="2" t="s">
        <v>136</v>
      </c>
      <c r="G17" s="3">
        <v>1661</v>
      </c>
      <c r="H17" s="2" t="s">
        <v>136</v>
      </c>
      <c r="I17" s="4">
        <f t="shared" si="0"/>
        <v>1661</v>
      </c>
      <c r="J17" s="2" t="s">
        <v>128</v>
      </c>
      <c r="K17" s="2" t="s">
        <v>97</v>
      </c>
      <c r="L17" s="2" t="s">
        <v>176</v>
      </c>
      <c r="M17" s="2" t="s">
        <v>173</v>
      </c>
      <c r="N17" s="2" t="s">
        <v>177</v>
      </c>
      <c r="O17" s="6" t="s">
        <v>175</v>
      </c>
      <c r="P17" s="2" t="s">
        <v>102</v>
      </c>
    </row>
    <row r="18" spans="1:16" ht="23">
      <c r="A18" s="2" t="s">
        <v>93</v>
      </c>
      <c r="B18" s="5">
        <v>44196</v>
      </c>
      <c r="C18" s="2" t="s">
        <v>54</v>
      </c>
      <c r="D18" s="2" t="s">
        <v>55</v>
      </c>
      <c r="E18" s="2" t="s">
        <v>94</v>
      </c>
      <c r="F18" s="2" t="s">
        <v>179</v>
      </c>
      <c r="G18" s="3">
        <v>649</v>
      </c>
      <c r="H18" s="2" t="s">
        <v>179</v>
      </c>
      <c r="I18" s="4">
        <f t="shared" si="0"/>
        <v>649</v>
      </c>
      <c r="J18" s="2" t="s">
        <v>180</v>
      </c>
      <c r="K18" s="2" t="s">
        <v>97</v>
      </c>
      <c r="L18" s="2" t="s">
        <v>181</v>
      </c>
      <c r="M18" s="2" t="s">
        <v>173</v>
      </c>
      <c r="N18" s="2" t="s">
        <v>177</v>
      </c>
      <c r="O18" s="6" t="s">
        <v>175</v>
      </c>
      <c r="P18" s="2" t="s">
        <v>102</v>
      </c>
    </row>
    <row r="19" spans="1:16" ht="23">
      <c r="A19" s="2" t="s">
        <v>126</v>
      </c>
      <c r="B19" s="5">
        <v>44561</v>
      </c>
      <c r="C19" s="2" t="s">
        <v>54</v>
      </c>
      <c r="D19" s="2" t="s">
        <v>55</v>
      </c>
      <c r="E19" s="2" t="s">
        <v>94</v>
      </c>
      <c r="F19" s="2" t="s">
        <v>95</v>
      </c>
      <c r="G19" s="3">
        <v>3133</v>
      </c>
      <c r="H19" s="2" t="s">
        <v>95</v>
      </c>
      <c r="I19" s="4">
        <f t="shared" si="0"/>
        <v>3133</v>
      </c>
      <c r="J19" s="2" t="s">
        <v>171</v>
      </c>
      <c r="K19" s="2" t="s">
        <v>97</v>
      </c>
      <c r="L19" s="2" t="s">
        <v>172</v>
      </c>
      <c r="M19" s="2" t="s">
        <v>182</v>
      </c>
      <c r="N19" s="2" t="s">
        <v>174</v>
      </c>
      <c r="O19" s="6" t="s">
        <v>183</v>
      </c>
      <c r="P19" s="2" t="s">
        <v>102</v>
      </c>
    </row>
    <row r="20" spans="1:16" ht="23">
      <c r="A20" s="2" t="s">
        <v>126</v>
      </c>
      <c r="B20" s="5">
        <v>44561</v>
      </c>
      <c r="C20" s="2" t="s">
        <v>54</v>
      </c>
      <c r="D20" s="2" t="s">
        <v>55</v>
      </c>
      <c r="E20" s="2" t="s">
        <v>94</v>
      </c>
      <c r="F20" s="2" t="s">
        <v>117</v>
      </c>
      <c r="G20" s="3">
        <v>1380</v>
      </c>
      <c r="H20" s="2" t="s">
        <v>117</v>
      </c>
      <c r="I20" s="4">
        <f t="shared" si="0"/>
        <v>1380</v>
      </c>
      <c r="J20" s="2" t="s">
        <v>171</v>
      </c>
      <c r="K20" s="2" t="s">
        <v>97</v>
      </c>
      <c r="L20" s="2" t="s">
        <v>172</v>
      </c>
      <c r="M20" s="2" t="s">
        <v>182</v>
      </c>
      <c r="N20" s="2" t="s">
        <v>174</v>
      </c>
      <c r="O20" s="6" t="s">
        <v>183</v>
      </c>
      <c r="P20" s="2" t="s">
        <v>102</v>
      </c>
    </row>
    <row r="21" spans="1:16" ht="23">
      <c r="A21" s="2" t="s">
        <v>126</v>
      </c>
      <c r="B21" s="5">
        <v>44561</v>
      </c>
      <c r="C21" s="2" t="s">
        <v>54</v>
      </c>
      <c r="D21" s="2" t="s">
        <v>55</v>
      </c>
      <c r="E21" s="2" t="s">
        <v>94</v>
      </c>
      <c r="F21" s="2" t="s">
        <v>108</v>
      </c>
      <c r="G21" s="3">
        <v>1628</v>
      </c>
      <c r="H21" s="2" t="s">
        <v>108</v>
      </c>
      <c r="I21" s="4">
        <f t="shared" si="0"/>
        <v>1628</v>
      </c>
      <c r="J21" s="2" t="s">
        <v>171</v>
      </c>
      <c r="K21" s="2" t="s">
        <v>97</v>
      </c>
      <c r="L21" s="2" t="s">
        <v>172</v>
      </c>
      <c r="M21" s="2" t="s">
        <v>182</v>
      </c>
      <c r="N21" s="2" t="s">
        <v>174</v>
      </c>
      <c r="O21" s="6" t="s">
        <v>183</v>
      </c>
      <c r="P21" s="2" t="s">
        <v>102</v>
      </c>
    </row>
    <row r="22" spans="1:16" ht="23">
      <c r="A22" s="2" t="s">
        <v>126</v>
      </c>
      <c r="B22" s="5">
        <v>44561</v>
      </c>
      <c r="C22" s="2" t="s">
        <v>54</v>
      </c>
      <c r="D22" s="2" t="s">
        <v>55</v>
      </c>
      <c r="E22" s="2" t="s">
        <v>94</v>
      </c>
      <c r="F22" s="2" t="s">
        <v>122</v>
      </c>
      <c r="G22" s="3">
        <v>1405</v>
      </c>
      <c r="H22" s="2" t="s">
        <v>122</v>
      </c>
      <c r="I22" s="4">
        <f t="shared" si="0"/>
        <v>1405</v>
      </c>
      <c r="J22" s="2" t="s">
        <v>171</v>
      </c>
      <c r="K22" s="2" t="s">
        <v>97</v>
      </c>
      <c r="L22" s="2" t="s">
        <v>172</v>
      </c>
      <c r="M22" s="2" t="s">
        <v>182</v>
      </c>
      <c r="N22" s="2" t="s">
        <v>174</v>
      </c>
      <c r="O22" s="6" t="s">
        <v>183</v>
      </c>
      <c r="P22" s="2" t="s">
        <v>102</v>
      </c>
    </row>
    <row r="23" spans="1:16" ht="23">
      <c r="A23" s="2" t="s">
        <v>126</v>
      </c>
      <c r="B23" s="5">
        <v>44561</v>
      </c>
      <c r="C23" s="2" t="s">
        <v>54</v>
      </c>
      <c r="D23" s="2" t="s">
        <v>55</v>
      </c>
      <c r="E23" s="2" t="s">
        <v>94</v>
      </c>
      <c r="F23" s="2" t="s">
        <v>127</v>
      </c>
      <c r="G23" s="3">
        <v>18160</v>
      </c>
      <c r="H23" s="2" t="s">
        <v>127</v>
      </c>
      <c r="I23" s="4">
        <f t="shared" si="0"/>
        <v>18160</v>
      </c>
      <c r="J23" s="2" t="s">
        <v>128</v>
      </c>
      <c r="K23" s="2" t="s">
        <v>97</v>
      </c>
      <c r="L23" s="2" t="s">
        <v>176</v>
      </c>
      <c r="M23" s="2" t="s">
        <v>182</v>
      </c>
      <c r="N23" s="2" t="s">
        <v>177</v>
      </c>
      <c r="O23" s="6" t="s">
        <v>183</v>
      </c>
      <c r="P23" s="2" t="s">
        <v>102</v>
      </c>
    </row>
    <row r="24" spans="1:16" ht="23">
      <c r="A24" s="2" t="s">
        <v>126</v>
      </c>
      <c r="B24" s="5">
        <v>44561</v>
      </c>
      <c r="C24" s="2" t="s">
        <v>54</v>
      </c>
      <c r="D24" s="2" t="s">
        <v>55</v>
      </c>
      <c r="E24" s="2" t="s">
        <v>94</v>
      </c>
      <c r="F24" s="2" t="s">
        <v>178</v>
      </c>
      <c r="G24" s="3">
        <v>13368</v>
      </c>
      <c r="H24" s="2" t="s">
        <v>132</v>
      </c>
      <c r="I24" s="4">
        <f t="shared" si="0"/>
        <v>13368</v>
      </c>
      <c r="J24" s="2" t="s">
        <v>128</v>
      </c>
      <c r="K24" s="2" t="s">
        <v>97</v>
      </c>
      <c r="L24" s="2" t="s">
        <v>176</v>
      </c>
      <c r="M24" s="2" t="s">
        <v>182</v>
      </c>
      <c r="N24" s="2" t="s">
        <v>177</v>
      </c>
      <c r="O24" s="6" t="s">
        <v>183</v>
      </c>
      <c r="P24" s="2" t="s">
        <v>102</v>
      </c>
    </row>
    <row r="25" spans="1:16" ht="23">
      <c r="A25" s="2" t="s">
        <v>126</v>
      </c>
      <c r="B25" s="5">
        <v>44561</v>
      </c>
      <c r="C25" s="2" t="s">
        <v>54</v>
      </c>
      <c r="D25" s="2" t="s">
        <v>55</v>
      </c>
      <c r="E25" s="2" t="s">
        <v>94</v>
      </c>
      <c r="F25" s="2" t="s">
        <v>134</v>
      </c>
      <c r="G25" s="3">
        <v>1839</v>
      </c>
      <c r="H25" s="2" t="s">
        <v>134</v>
      </c>
      <c r="I25" s="4">
        <f t="shared" si="0"/>
        <v>1839</v>
      </c>
      <c r="J25" s="2" t="s">
        <v>128</v>
      </c>
      <c r="K25" s="2" t="s">
        <v>97</v>
      </c>
      <c r="L25" s="2" t="s">
        <v>176</v>
      </c>
      <c r="M25" s="2" t="s">
        <v>182</v>
      </c>
      <c r="N25" s="2" t="s">
        <v>177</v>
      </c>
      <c r="O25" s="6" t="s">
        <v>183</v>
      </c>
      <c r="P25" s="2" t="s">
        <v>102</v>
      </c>
    </row>
    <row r="26" spans="1:16" ht="23">
      <c r="A26" s="2" t="s">
        <v>126</v>
      </c>
      <c r="B26" s="5">
        <v>44561</v>
      </c>
      <c r="C26" s="2" t="s">
        <v>54</v>
      </c>
      <c r="D26" s="2" t="s">
        <v>55</v>
      </c>
      <c r="E26" s="2" t="s">
        <v>94</v>
      </c>
      <c r="F26" s="2" t="s">
        <v>135</v>
      </c>
      <c r="G26" s="3">
        <v>1157</v>
      </c>
      <c r="H26" s="2" t="s">
        <v>135</v>
      </c>
      <c r="I26" s="4">
        <f t="shared" si="0"/>
        <v>1157</v>
      </c>
      <c r="J26" s="2" t="s">
        <v>128</v>
      </c>
      <c r="K26" s="2" t="s">
        <v>97</v>
      </c>
      <c r="L26" s="2" t="s">
        <v>176</v>
      </c>
      <c r="M26" s="2" t="s">
        <v>182</v>
      </c>
      <c r="N26" s="2" t="s">
        <v>177</v>
      </c>
      <c r="O26" s="6" t="s">
        <v>183</v>
      </c>
      <c r="P26" s="2" t="s">
        <v>102</v>
      </c>
    </row>
    <row r="27" spans="1:16" ht="23">
      <c r="A27" s="2" t="s">
        <v>126</v>
      </c>
      <c r="B27" s="5">
        <v>44561</v>
      </c>
      <c r="C27" s="2" t="s">
        <v>54</v>
      </c>
      <c r="D27" s="2" t="s">
        <v>55</v>
      </c>
      <c r="E27" s="2" t="s">
        <v>94</v>
      </c>
      <c r="F27" s="2" t="s">
        <v>136</v>
      </c>
      <c r="G27" s="3">
        <v>2581</v>
      </c>
      <c r="H27" s="2" t="s">
        <v>136</v>
      </c>
      <c r="I27" s="4">
        <f t="shared" si="0"/>
        <v>2581</v>
      </c>
      <c r="J27" s="2" t="s">
        <v>128</v>
      </c>
      <c r="K27" s="2" t="s">
        <v>97</v>
      </c>
      <c r="L27" s="2" t="s">
        <v>176</v>
      </c>
      <c r="M27" s="2" t="s">
        <v>182</v>
      </c>
      <c r="N27" s="2" t="s">
        <v>177</v>
      </c>
      <c r="O27" s="6" t="s">
        <v>183</v>
      </c>
      <c r="P27" s="2" t="s">
        <v>102</v>
      </c>
    </row>
    <row r="28" spans="1:16" ht="23">
      <c r="A28" s="2" t="s">
        <v>126</v>
      </c>
      <c r="B28" s="5">
        <v>44561</v>
      </c>
      <c r="C28" s="2" t="s">
        <v>54</v>
      </c>
      <c r="D28" s="2" t="s">
        <v>55</v>
      </c>
      <c r="E28" s="2" t="s">
        <v>94</v>
      </c>
      <c r="F28" s="2" t="s">
        <v>179</v>
      </c>
      <c r="G28" s="3">
        <v>672</v>
      </c>
      <c r="H28" s="2" t="s">
        <v>179</v>
      </c>
      <c r="I28" s="4">
        <f t="shared" si="0"/>
        <v>672</v>
      </c>
      <c r="J28" s="2" t="s">
        <v>180</v>
      </c>
      <c r="K28" s="2" t="s">
        <v>97</v>
      </c>
      <c r="L28" s="2" t="s">
        <v>181</v>
      </c>
      <c r="M28" s="2" t="s">
        <v>182</v>
      </c>
      <c r="N28" s="2" t="s">
        <v>177</v>
      </c>
      <c r="O28" s="6" t="s">
        <v>183</v>
      </c>
      <c r="P28" s="2" t="s">
        <v>102</v>
      </c>
    </row>
    <row r="29" spans="1:16" ht="23">
      <c r="A29" s="2" t="s">
        <v>147</v>
      </c>
      <c r="B29" s="5">
        <v>44926</v>
      </c>
      <c r="C29" s="2" t="s">
        <v>54</v>
      </c>
      <c r="D29" s="2" t="s">
        <v>55</v>
      </c>
      <c r="E29" s="2" t="s">
        <v>94</v>
      </c>
      <c r="F29" s="2" t="s">
        <v>95</v>
      </c>
      <c r="G29" s="3">
        <v>3346</v>
      </c>
      <c r="H29" s="2" t="s">
        <v>95</v>
      </c>
      <c r="I29" s="4">
        <f t="shared" si="0"/>
        <v>3346</v>
      </c>
      <c r="J29" s="2" t="s">
        <v>171</v>
      </c>
      <c r="K29" s="2" t="s">
        <v>97</v>
      </c>
      <c r="L29" s="2" t="s">
        <v>172</v>
      </c>
      <c r="M29" s="2" t="s">
        <v>182</v>
      </c>
      <c r="N29" s="2" t="s">
        <v>174</v>
      </c>
      <c r="O29" s="6" t="s">
        <v>183</v>
      </c>
      <c r="P29" s="2" t="s">
        <v>102</v>
      </c>
    </row>
    <row r="30" spans="1:16" ht="23">
      <c r="A30" s="2" t="s">
        <v>147</v>
      </c>
      <c r="B30" s="5">
        <v>44926</v>
      </c>
      <c r="C30" s="2" t="s">
        <v>54</v>
      </c>
      <c r="D30" s="2" t="s">
        <v>55</v>
      </c>
      <c r="E30" s="2" t="s">
        <v>94</v>
      </c>
      <c r="F30" s="2" t="s">
        <v>117</v>
      </c>
      <c r="G30" s="3">
        <v>1784</v>
      </c>
      <c r="H30" s="2" t="s">
        <v>117</v>
      </c>
      <c r="I30" s="4">
        <f t="shared" si="0"/>
        <v>1784</v>
      </c>
      <c r="J30" s="2" t="s">
        <v>171</v>
      </c>
      <c r="K30" s="2" t="s">
        <v>97</v>
      </c>
      <c r="L30" s="2" t="s">
        <v>172</v>
      </c>
      <c r="M30" s="2" t="s">
        <v>182</v>
      </c>
      <c r="N30" s="2" t="s">
        <v>174</v>
      </c>
      <c r="O30" s="6" t="s">
        <v>183</v>
      </c>
      <c r="P30" s="2" t="s">
        <v>102</v>
      </c>
    </row>
    <row r="31" spans="1:16" ht="23">
      <c r="A31" s="2" t="s">
        <v>147</v>
      </c>
      <c r="B31" s="5">
        <v>44926</v>
      </c>
      <c r="C31" s="2" t="s">
        <v>54</v>
      </c>
      <c r="D31" s="2" t="s">
        <v>55</v>
      </c>
      <c r="E31" s="2" t="s">
        <v>94</v>
      </c>
      <c r="F31" s="2" t="s">
        <v>108</v>
      </c>
      <c r="G31" s="3">
        <v>1712</v>
      </c>
      <c r="H31" s="2" t="s">
        <v>108</v>
      </c>
      <c r="I31" s="4">
        <f t="shared" si="0"/>
        <v>1712</v>
      </c>
      <c r="J31" s="2" t="s">
        <v>171</v>
      </c>
      <c r="K31" s="2" t="s">
        <v>97</v>
      </c>
      <c r="L31" s="2" t="s">
        <v>172</v>
      </c>
      <c r="M31" s="2" t="s">
        <v>182</v>
      </c>
      <c r="N31" s="2" t="s">
        <v>174</v>
      </c>
      <c r="O31" s="6" t="s">
        <v>183</v>
      </c>
      <c r="P31" s="2" t="s">
        <v>102</v>
      </c>
    </row>
    <row r="32" spans="1:16" ht="23">
      <c r="A32" s="2" t="s">
        <v>147</v>
      </c>
      <c r="B32" s="5">
        <v>44926</v>
      </c>
      <c r="C32" s="2" t="s">
        <v>54</v>
      </c>
      <c r="D32" s="2" t="s">
        <v>55</v>
      </c>
      <c r="E32" s="2" t="s">
        <v>94</v>
      </c>
      <c r="F32" s="2" t="s">
        <v>122</v>
      </c>
      <c r="G32" s="3">
        <v>1470</v>
      </c>
      <c r="H32" s="2" t="s">
        <v>122</v>
      </c>
      <c r="I32" s="4">
        <f t="shared" si="0"/>
        <v>1470</v>
      </c>
      <c r="J32" s="2" t="s">
        <v>171</v>
      </c>
      <c r="K32" s="2" t="s">
        <v>97</v>
      </c>
      <c r="L32" s="2" t="s">
        <v>172</v>
      </c>
      <c r="M32" s="2" t="s">
        <v>182</v>
      </c>
      <c r="N32" s="2" t="s">
        <v>174</v>
      </c>
      <c r="O32" s="6" t="s">
        <v>183</v>
      </c>
      <c r="P32" s="2" t="s">
        <v>102</v>
      </c>
    </row>
    <row r="33" spans="1:16" ht="23">
      <c r="A33" s="2" t="s">
        <v>147</v>
      </c>
      <c r="B33" s="5">
        <v>44926</v>
      </c>
      <c r="C33" s="2" t="s">
        <v>54</v>
      </c>
      <c r="D33" s="2" t="s">
        <v>55</v>
      </c>
      <c r="E33" s="2" t="s">
        <v>94</v>
      </c>
      <c r="F33" s="2" t="s">
        <v>127</v>
      </c>
      <c r="G33" s="3">
        <v>21995</v>
      </c>
      <c r="H33" s="2" t="s">
        <v>127</v>
      </c>
      <c r="I33" s="4">
        <f t="shared" si="0"/>
        <v>21995</v>
      </c>
      <c r="J33" s="2" t="s">
        <v>128</v>
      </c>
      <c r="K33" s="2" t="s">
        <v>97</v>
      </c>
      <c r="L33" s="2" t="s">
        <v>176</v>
      </c>
      <c r="M33" s="2" t="s">
        <v>182</v>
      </c>
      <c r="N33" s="2" t="s">
        <v>177</v>
      </c>
      <c r="O33" s="6" t="s">
        <v>183</v>
      </c>
      <c r="P33" s="2" t="s">
        <v>102</v>
      </c>
    </row>
    <row r="34" spans="1:16" ht="23">
      <c r="A34" s="2" t="s">
        <v>147</v>
      </c>
      <c r="B34" s="5">
        <v>44926</v>
      </c>
      <c r="C34" s="2" t="s">
        <v>54</v>
      </c>
      <c r="D34" s="2" t="s">
        <v>55</v>
      </c>
      <c r="E34" s="2" t="s">
        <v>94</v>
      </c>
      <c r="F34" s="2" t="s">
        <v>178</v>
      </c>
      <c r="G34" s="3">
        <v>16163</v>
      </c>
      <c r="H34" s="2" t="s">
        <v>132</v>
      </c>
      <c r="I34" s="4">
        <f t="shared" si="0"/>
        <v>16163</v>
      </c>
      <c r="J34" s="2" t="s">
        <v>128</v>
      </c>
      <c r="K34" s="2" t="s">
        <v>97</v>
      </c>
      <c r="L34" s="2" t="s">
        <v>176</v>
      </c>
      <c r="M34" s="2" t="s">
        <v>182</v>
      </c>
      <c r="N34" s="2" t="s">
        <v>177</v>
      </c>
      <c r="O34" s="6" t="s">
        <v>183</v>
      </c>
      <c r="P34" s="2" t="s">
        <v>102</v>
      </c>
    </row>
    <row r="35" spans="1:16" ht="23">
      <c r="A35" s="2" t="s">
        <v>147</v>
      </c>
      <c r="B35" s="5">
        <v>44926</v>
      </c>
      <c r="C35" s="2" t="s">
        <v>54</v>
      </c>
      <c r="D35" s="2" t="s">
        <v>55</v>
      </c>
      <c r="E35" s="2" t="s">
        <v>94</v>
      </c>
      <c r="F35" s="2" t="s">
        <v>134</v>
      </c>
      <c r="G35" s="3">
        <v>2393</v>
      </c>
      <c r="H35" s="2" t="s">
        <v>134</v>
      </c>
      <c r="I35" s="4">
        <f t="shared" si="0"/>
        <v>2393</v>
      </c>
      <c r="J35" s="2" t="s">
        <v>128</v>
      </c>
      <c r="K35" s="2" t="s">
        <v>97</v>
      </c>
      <c r="L35" s="2" t="s">
        <v>176</v>
      </c>
      <c r="M35" s="2" t="s">
        <v>182</v>
      </c>
      <c r="N35" s="2" t="s">
        <v>177</v>
      </c>
      <c r="O35" s="6" t="s">
        <v>183</v>
      </c>
      <c r="P35" s="2" t="s">
        <v>102</v>
      </c>
    </row>
    <row r="36" spans="1:16" ht="23">
      <c r="A36" s="2" t="s">
        <v>147</v>
      </c>
      <c r="B36" s="5">
        <v>44926</v>
      </c>
      <c r="C36" s="2" t="s">
        <v>54</v>
      </c>
      <c r="D36" s="2" t="s">
        <v>55</v>
      </c>
      <c r="E36" s="2" t="s">
        <v>94</v>
      </c>
      <c r="F36" s="2" t="s">
        <v>135</v>
      </c>
      <c r="G36" s="3">
        <v>1547</v>
      </c>
      <c r="H36" s="2" t="s">
        <v>135</v>
      </c>
      <c r="I36" s="4">
        <f t="shared" si="0"/>
        <v>1547</v>
      </c>
      <c r="J36" s="2" t="s">
        <v>128</v>
      </c>
      <c r="K36" s="2" t="s">
        <v>97</v>
      </c>
      <c r="L36" s="2" t="s">
        <v>176</v>
      </c>
      <c r="M36" s="2" t="s">
        <v>182</v>
      </c>
      <c r="N36" s="2" t="s">
        <v>177</v>
      </c>
      <c r="O36" s="6" t="s">
        <v>183</v>
      </c>
      <c r="P36" s="2" t="s">
        <v>102</v>
      </c>
    </row>
    <row r="37" spans="1:16" ht="23">
      <c r="A37" s="2" t="s">
        <v>147</v>
      </c>
      <c r="B37" s="5">
        <v>44926</v>
      </c>
      <c r="C37" s="2" t="s">
        <v>54</v>
      </c>
      <c r="D37" s="2" t="s">
        <v>55</v>
      </c>
      <c r="E37" s="2" t="s">
        <v>94</v>
      </c>
      <c r="F37" s="2" t="s">
        <v>136</v>
      </c>
      <c r="G37" s="3">
        <v>2517</v>
      </c>
      <c r="H37" s="2" t="s">
        <v>136</v>
      </c>
      <c r="I37" s="4">
        <f t="shared" ref="I37:I58" si="1">G37</f>
        <v>2517</v>
      </c>
      <c r="J37" s="2" t="s">
        <v>128</v>
      </c>
      <c r="K37" s="2" t="s">
        <v>97</v>
      </c>
      <c r="L37" s="2" t="s">
        <v>176</v>
      </c>
      <c r="M37" s="2" t="s">
        <v>182</v>
      </c>
      <c r="N37" s="2" t="s">
        <v>177</v>
      </c>
      <c r="O37" s="6" t="s">
        <v>183</v>
      </c>
      <c r="P37" s="2" t="s">
        <v>102</v>
      </c>
    </row>
    <row r="38" spans="1:16" ht="23">
      <c r="A38" s="2" t="s">
        <v>147</v>
      </c>
      <c r="B38" s="5">
        <v>44926</v>
      </c>
      <c r="C38" s="2" t="s">
        <v>54</v>
      </c>
      <c r="D38" s="2" t="s">
        <v>55</v>
      </c>
      <c r="E38" s="2" t="s">
        <v>94</v>
      </c>
      <c r="F38" s="2" t="s">
        <v>179</v>
      </c>
      <c r="G38" s="3">
        <v>719</v>
      </c>
      <c r="H38" s="2" t="s">
        <v>179</v>
      </c>
      <c r="I38" s="4">
        <f t="shared" si="1"/>
        <v>719</v>
      </c>
      <c r="J38" s="2" t="s">
        <v>180</v>
      </c>
      <c r="K38" s="2" t="s">
        <v>97</v>
      </c>
      <c r="L38" s="2" t="s">
        <v>181</v>
      </c>
      <c r="M38" s="2" t="s">
        <v>182</v>
      </c>
      <c r="N38" s="2" t="s">
        <v>177</v>
      </c>
      <c r="O38" s="6" t="s">
        <v>183</v>
      </c>
      <c r="P38" s="2" t="s">
        <v>102</v>
      </c>
    </row>
    <row r="39" spans="1:16" ht="23">
      <c r="A39" s="2" t="s">
        <v>150</v>
      </c>
      <c r="B39" s="5">
        <v>45291</v>
      </c>
      <c r="C39" s="2" t="s">
        <v>54</v>
      </c>
      <c r="D39" s="2" t="s">
        <v>55</v>
      </c>
      <c r="E39" s="2" t="s">
        <v>94</v>
      </c>
      <c r="F39" s="2" t="s">
        <v>95</v>
      </c>
      <c r="G39" s="3">
        <v>3306</v>
      </c>
      <c r="H39" s="2" t="s">
        <v>95</v>
      </c>
      <c r="I39" s="4">
        <f t="shared" si="1"/>
        <v>3306</v>
      </c>
      <c r="J39" s="2" t="s">
        <v>171</v>
      </c>
      <c r="K39" s="2" t="s">
        <v>97</v>
      </c>
      <c r="L39" s="2" t="s">
        <v>172</v>
      </c>
      <c r="M39" s="2" t="s">
        <v>184</v>
      </c>
      <c r="N39" s="2" t="s">
        <v>174</v>
      </c>
      <c r="O39" s="6" t="s">
        <v>185</v>
      </c>
      <c r="P39" s="2" t="s">
        <v>102</v>
      </c>
    </row>
    <row r="40" spans="1:16" ht="23">
      <c r="A40" s="2" t="s">
        <v>150</v>
      </c>
      <c r="B40" s="5">
        <v>45291</v>
      </c>
      <c r="C40" s="2" t="s">
        <v>54</v>
      </c>
      <c r="D40" s="2" t="s">
        <v>55</v>
      </c>
      <c r="E40" s="2" t="s">
        <v>94</v>
      </c>
      <c r="F40" s="2" t="s">
        <v>117</v>
      </c>
      <c r="G40" s="3">
        <v>1670</v>
      </c>
      <c r="H40" s="2" t="s">
        <v>117</v>
      </c>
      <c r="I40" s="4">
        <f t="shared" si="1"/>
        <v>1670</v>
      </c>
      <c r="J40" s="2" t="s">
        <v>171</v>
      </c>
      <c r="K40" s="2" t="s">
        <v>97</v>
      </c>
      <c r="L40" s="2" t="s">
        <v>172</v>
      </c>
      <c r="M40" s="2" t="s">
        <v>184</v>
      </c>
      <c r="N40" s="2" t="s">
        <v>174</v>
      </c>
      <c r="O40" s="6" t="s">
        <v>185</v>
      </c>
      <c r="P40" s="2" t="s">
        <v>102</v>
      </c>
    </row>
    <row r="41" spans="1:16" ht="23">
      <c r="A41" s="2" t="s">
        <v>150</v>
      </c>
      <c r="B41" s="5">
        <v>45291</v>
      </c>
      <c r="C41" s="2" t="s">
        <v>54</v>
      </c>
      <c r="D41" s="2" t="s">
        <v>55</v>
      </c>
      <c r="E41" s="2" t="s">
        <v>94</v>
      </c>
      <c r="F41" s="2" t="s">
        <v>108</v>
      </c>
      <c r="G41" s="3">
        <v>1537</v>
      </c>
      <c r="H41" s="2" t="s">
        <v>108</v>
      </c>
      <c r="I41" s="4">
        <f t="shared" si="1"/>
        <v>1537</v>
      </c>
      <c r="J41" s="2" t="s">
        <v>171</v>
      </c>
      <c r="K41" s="2" t="s">
        <v>97</v>
      </c>
      <c r="L41" s="2" t="s">
        <v>172</v>
      </c>
      <c r="M41" s="2" t="s">
        <v>184</v>
      </c>
      <c r="N41" s="2" t="s">
        <v>174</v>
      </c>
      <c r="O41" s="6" t="s">
        <v>185</v>
      </c>
      <c r="P41" s="2" t="s">
        <v>102</v>
      </c>
    </row>
    <row r="42" spans="1:16" ht="23">
      <c r="A42" s="2" t="s">
        <v>150</v>
      </c>
      <c r="B42" s="5">
        <v>45291</v>
      </c>
      <c r="C42" s="2" t="s">
        <v>54</v>
      </c>
      <c r="D42" s="2" t="s">
        <v>55</v>
      </c>
      <c r="E42" s="2" t="s">
        <v>94</v>
      </c>
      <c r="F42" s="2" t="s">
        <v>122</v>
      </c>
      <c r="G42" s="3">
        <v>1332</v>
      </c>
      <c r="H42" s="2" t="s">
        <v>122</v>
      </c>
      <c r="I42" s="4">
        <f t="shared" si="1"/>
        <v>1332</v>
      </c>
      <c r="J42" s="2" t="s">
        <v>171</v>
      </c>
      <c r="K42" s="2" t="s">
        <v>97</v>
      </c>
      <c r="L42" s="2" t="s">
        <v>172</v>
      </c>
      <c r="M42" s="2" t="s">
        <v>184</v>
      </c>
      <c r="N42" s="2" t="s">
        <v>174</v>
      </c>
      <c r="O42" s="6" t="s">
        <v>185</v>
      </c>
      <c r="P42" s="2" t="s">
        <v>102</v>
      </c>
    </row>
    <row r="43" spans="1:16" ht="23">
      <c r="A43" s="2" t="s">
        <v>150</v>
      </c>
      <c r="B43" s="5">
        <v>45291</v>
      </c>
      <c r="C43" s="2" t="s">
        <v>54</v>
      </c>
      <c r="D43" s="2" t="s">
        <v>55</v>
      </c>
      <c r="E43" s="2" t="s">
        <v>94</v>
      </c>
      <c r="F43" s="2" t="s">
        <v>127</v>
      </c>
      <c r="G43" s="3">
        <v>22522</v>
      </c>
      <c r="H43" s="2" t="s">
        <v>127</v>
      </c>
      <c r="I43" s="4">
        <f t="shared" si="1"/>
        <v>22522</v>
      </c>
      <c r="J43" s="2" t="s">
        <v>128</v>
      </c>
      <c r="K43" s="2" t="s">
        <v>97</v>
      </c>
      <c r="L43" s="2" t="s">
        <v>176</v>
      </c>
      <c r="M43" s="2" t="s">
        <v>184</v>
      </c>
      <c r="N43" s="2" t="s">
        <v>177</v>
      </c>
      <c r="O43" s="6" t="s">
        <v>185</v>
      </c>
      <c r="P43" s="2" t="s">
        <v>102</v>
      </c>
    </row>
    <row r="44" spans="1:16" ht="23">
      <c r="A44" s="2" t="s">
        <v>150</v>
      </c>
      <c r="B44" s="5">
        <v>45291</v>
      </c>
      <c r="C44" s="2" t="s">
        <v>54</v>
      </c>
      <c r="D44" s="2" t="s">
        <v>55</v>
      </c>
      <c r="E44" s="2" t="s">
        <v>94</v>
      </c>
      <c r="F44" s="2" t="s">
        <v>178</v>
      </c>
      <c r="G44" s="3">
        <v>16474</v>
      </c>
      <c r="H44" s="2" t="s">
        <v>132</v>
      </c>
      <c r="I44" s="4">
        <f t="shared" si="1"/>
        <v>16474</v>
      </c>
      <c r="J44" s="2" t="s">
        <v>128</v>
      </c>
      <c r="K44" s="2" t="s">
        <v>97</v>
      </c>
      <c r="L44" s="2" t="s">
        <v>176</v>
      </c>
      <c r="M44" s="2" t="s">
        <v>184</v>
      </c>
      <c r="N44" s="2" t="s">
        <v>177</v>
      </c>
      <c r="O44" s="6" t="s">
        <v>185</v>
      </c>
      <c r="P44" s="2" t="s">
        <v>102</v>
      </c>
    </row>
    <row r="45" spans="1:16" ht="23">
      <c r="A45" s="2" t="s">
        <v>150</v>
      </c>
      <c r="B45" s="5">
        <v>45291</v>
      </c>
      <c r="C45" s="2" t="s">
        <v>54</v>
      </c>
      <c r="D45" s="2" t="s">
        <v>55</v>
      </c>
      <c r="E45" s="2" t="s">
        <v>94</v>
      </c>
      <c r="F45" s="2" t="s">
        <v>134</v>
      </c>
      <c r="G45" s="3">
        <v>2346</v>
      </c>
      <c r="H45" s="2" t="s">
        <v>134</v>
      </c>
      <c r="I45" s="4">
        <f t="shared" si="1"/>
        <v>2346</v>
      </c>
      <c r="J45" s="2" t="s">
        <v>128</v>
      </c>
      <c r="K45" s="2" t="s">
        <v>97</v>
      </c>
      <c r="L45" s="2" t="s">
        <v>176</v>
      </c>
      <c r="M45" s="2" t="s">
        <v>184</v>
      </c>
      <c r="N45" s="2" t="s">
        <v>177</v>
      </c>
      <c r="O45" s="6" t="s">
        <v>185</v>
      </c>
      <c r="P45" s="2" t="s">
        <v>102</v>
      </c>
    </row>
    <row r="46" spans="1:16" ht="23">
      <c r="A46" s="2" t="s">
        <v>150</v>
      </c>
      <c r="B46" s="5">
        <v>45291</v>
      </c>
      <c r="C46" s="2" t="s">
        <v>54</v>
      </c>
      <c r="D46" s="2" t="s">
        <v>55</v>
      </c>
      <c r="E46" s="2" t="s">
        <v>94</v>
      </c>
      <c r="F46" s="2" t="s">
        <v>135</v>
      </c>
      <c r="G46" s="3">
        <v>1663</v>
      </c>
      <c r="H46" s="2" t="s">
        <v>135</v>
      </c>
      <c r="I46" s="4">
        <f t="shared" si="1"/>
        <v>1663</v>
      </c>
      <c r="J46" s="2" t="s">
        <v>128</v>
      </c>
      <c r="K46" s="2" t="s">
        <v>97</v>
      </c>
      <c r="L46" s="2" t="s">
        <v>176</v>
      </c>
      <c r="M46" s="2" t="s">
        <v>184</v>
      </c>
      <c r="N46" s="2" t="s">
        <v>177</v>
      </c>
      <c r="O46" s="6" t="s">
        <v>185</v>
      </c>
      <c r="P46" s="2" t="s">
        <v>102</v>
      </c>
    </row>
    <row r="47" spans="1:16" ht="23">
      <c r="A47" s="2" t="s">
        <v>150</v>
      </c>
      <c r="B47" s="5">
        <v>45291</v>
      </c>
      <c r="C47" s="2" t="s">
        <v>54</v>
      </c>
      <c r="D47" s="2" t="s">
        <v>55</v>
      </c>
      <c r="E47" s="2" t="s">
        <v>94</v>
      </c>
      <c r="F47" s="2" t="s">
        <v>136</v>
      </c>
      <c r="G47" s="3">
        <v>2525</v>
      </c>
      <c r="H47" s="2" t="s">
        <v>136</v>
      </c>
      <c r="I47" s="4">
        <f t="shared" si="1"/>
        <v>2525</v>
      </c>
      <c r="J47" s="2" t="s">
        <v>128</v>
      </c>
      <c r="K47" s="2" t="s">
        <v>97</v>
      </c>
      <c r="L47" s="2" t="s">
        <v>176</v>
      </c>
      <c r="M47" s="2" t="s">
        <v>184</v>
      </c>
      <c r="N47" s="2" t="s">
        <v>177</v>
      </c>
      <c r="O47" s="6" t="s">
        <v>185</v>
      </c>
      <c r="P47" s="2" t="s">
        <v>102</v>
      </c>
    </row>
    <row r="48" spans="1:16" ht="23">
      <c r="A48" s="2" t="s">
        <v>150</v>
      </c>
      <c r="B48" s="5">
        <v>45291</v>
      </c>
      <c r="C48" s="2" t="s">
        <v>54</v>
      </c>
      <c r="D48" s="2" t="s">
        <v>55</v>
      </c>
      <c r="E48" s="2" t="s">
        <v>94</v>
      </c>
      <c r="F48" s="2" t="s">
        <v>179</v>
      </c>
      <c r="G48" s="3">
        <v>700</v>
      </c>
      <c r="H48" s="2" t="s">
        <v>179</v>
      </c>
      <c r="I48" s="4">
        <f t="shared" si="1"/>
        <v>700</v>
      </c>
      <c r="J48" s="2" t="s">
        <v>180</v>
      </c>
      <c r="K48" s="2" t="s">
        <v>97</v>
      </c>
      <c r="L48" s="2" t="s">
        <v>181</v>
      </c>
      <c r="M48" s="2" t="s">
        <v>184</v>
      </c>
      <c r="N48" s="2" t="s">
        <v>177</v>
      </c>
      <c r="O48" s="6" t="s">
        <v>185</v>
      </c>
      <c r="P48" s="2" t="s">
        <v>102</v>
      </c>
    </row>
    <row r="49" spans="1:16" ht="23">
      <c r="A49" s="2" t="s">
        <v>153</v>
      </c>
      <c r="B49" s="5">
        <v>45657</v>
      </c>
      <c r="C49" s="2" t="s">
        <v>54</v>
      </c>
      <c r="D49" s="2" t="s">
        <v>55</v>
      </c>
      <c r="E49" s="2" t="s">
        <v>94</v>
      </c>
      <c r="F49" s="2" t="s">
        <v>95</v>
      </c>
      <c r="G49" s="3">
        <v>3255</v>
      </c>
      <c r="H49" s="2" t="s">
        <v>95</v>
      </c>
      <c r="I49" s="4">
        <f t="shared" si="1"/>
        <v>3255</v>
      </c>
      <c r="J49" s="2" t="s">
        <v>171</v>
      </c>
      <c r="K49" s="2" t="s">
        <v>97</v>
      </c>
      <c r="L49" s="2" t="s">
        <v>172</v>
      </c>
      <c r="M49" s="2" t="s">
        <v>184</v>
      </c>
      <c r="N49" s="2" t="s">
        <v>174</v>
      </c>
      <c r="O49" s="6" t="s">
        <v>185</v>
      </c>
      <c r="P49" s="2" t="s">
        <v>102</v>
      </c>
    </row>
    <row r="50" spans="1:16" ht="23">
      <c r="A50" s="2" t="s">
        <v>153</v>
      </c>
      <c r="B50" s="5">
        <v>45657</v>
      </c>
      <c r="C50" s="2" t="s">
        <v>54</v>
      </c>
      <c r="D50" s="2" t="s">
        <v>55</v>
      </c>
      <c r="E50" s="2" t="s">
        <v>94</v>
      </c>
      <c r="F50" s="2" t="s">
        <v>117</v>
      </c>
      <c r="G50" s="3">
        <v>1838</v>
      </c>
      <c r="H50" s="2" t="s">
        <v>117</v>
      </c>
      <c r="I50" s="4">
        <f t="shared" si="1"/>
        <v>1838</v>
      </c>
      <c r="J50" s="2" t="s">
        <v>171</v>
      </c>
      <c r="K50" s="2" t="s">
        <v>97</v>
      </c>
      <c r="L50" s="2" t="s">
        <v>172</v>
      </c>
      <c r="M50" s="2" t="s">
        <v>184</v>
      </c>
      <c r="N50" s="2" t="s">
        <v>174</v>
      </c>
      <c r="O50" s="6" t="s">
        <v>185</v>
      </c>
      <c r="P50" s="2" t="s">
        <v>102</v>
      </c>
    </row>
    <row r="51" spans="1:16" ht="23">
      <c r="A51" s="2" t="s">
        <v>153</v>
      </c>
      <c r="B51" s="5">
        <v>45657</v>
      </c>
      <c r="C51" s="2" t="s">
        <v>54</v>
      </c>
      <c r="D51" s="2" t="s">
        <v>55</v>
      </c>
      <c r="E51" s="2" t="s">
        <v>94</v>
      </c>
      <c r="F51" s="2" t="s">
        <v>108</v>
      </c>
      <c r="G51" s="3">
        <v>1642</v>
      </c>
      <c r="H51" s="2" t="s">
        <v>108</v>
      </c>
      <c r="I51" s="4">
        <f t="shared" si="1"/>
        <v>1642</v>
      </c>
      <c r="J51" s="2" t="s">
        <v>171</v>
      </c>
      <c r="K51" s="2" t="s">
        <v>97</v>
      </c>
      <c r="L51" s="2" t="s">
        <v>172</v>
      </c>
      <c r="M51" s="2" t="s">
        <v>184</v>
      </c>
      <c r="N51" s="2" t="s">
        <v>174</v>
      </c>
      <c r="O51" s="6" t="s">
        <v>185</v>
      </c>
      <c r="P51" s="2" t="s">
        <v>102</v>
      </c>
    </row>
    <row r="52" spans="1:16" ht="23">
      <c r="A52" s="2" t="s">
        <v>153</v>
      </c>
      <c r="B52" s="5">
        <v>45657</v>
      </c>
      <c r="C52" s="2" t="s">
        <v>54</v>
      </c>
      <c r="D52" s="2" t="s">
        <v>55</v>
      </c>
      <c r="E52" s="2" t="s">
        <v>94</v>
      </c>
      <c r="F52" s="2" t="s">
        <v>122</v>
      </c>
      <c r="G52" s="3">
        <v>1392</v>
      </c>
      <c r="H52" s="2" t="s">
        <v>122</v>
      </c>
      <c r="I52" s="4">
        <f t="shared" si="1"/>
        <v>1392</v>
      </c>
      <c r="J52" s="2" t="s">
        <v>171</v>
      </c>
      <c r="K52" s="2" t="s">
        <v>97</v>
      </c>
      <c r="L52" s="2" t="s">
        <v>172</v>
      </c>
      <c r="M52" s="2" t="s">
        <v>184</v>
      </c>
      <c r="N52" s="2" t="s">
        <v>174</v>
      </c>
      <c r="O52" s="6" t="s">
        <v>185</v>
      </c>
      <c r="P52" s="2" t="s">
        <v>102</v>
      </c>
    </row>
    <row r="53" spans="1:16" ht="23">
      <c r="A53" s="2" t="s">
        <v>153</v>
      </c>
      <c r="B53" s="5">
        <v>45657</v>
      </c>
      <c r="C53" s="2" t="s">
        <v>54</v>
      </c>
      <c r="D53" s="2" t="s">
        <v>55</v>
      </c>
      <c r="E53" s="2" t="s">
        <v>94</v>
      </c>
      <c r="F53" s="2" t="s">
        <v>127</v>
      </c>
      <c r="G53" s="3">
        <v>22096</v>
      </c>
      <c r="H53" s="2" t="s">
        <v>127</v>
      </c>
      <c r="I53" s="4">
        <f t="shared" si="1"/>
        <v>22096</v>
      </c>
      <c r="J53" s="2" t="s">
        <v>128</v>
      </c>
      <c r="K53" s="2" t="s">
        <v>97</v>
      </c>
      <c r="L53" s="2" t="s">
        <v>176</v>
      </c>
      <c r="M53" s="2" t="s">
        <v>184</v>
      </c>
      <c r="N53" s="2" t="s">
        <v>177</v>
      </c>
      <c r="O53" s="6" t="s">
        <v>185</v>
      </c>
      <c r="P53" s="2" t="s">
        <v>102</v>
      </c>
    </row>
    <row r="54" spans="1:16" ht="23">
      <c r="A54" s="2" t="s">
        <v>153</v>
      </c>
      <c r="B54" s="5">
        <v>45657</v>
      </c>
      <c r="C54" s="2" t="s">
        <v>54</v>
      </c>
      <c r="D54" s="2" t="s">
        <v>55</v>
      </c>
      <c r="E54" s="2" t="s">
        <v>94</v>
      </c>
      <c r="F54" s="2" t="s">
        <v>178</v>
      </c>
      <c r="G54" s="3">
        <v>16044</v>
      </c>
      <c r="H54" s="2" t="s">
        <v>132</v>
      </c>
      <c r="I54" s="4">
        <f t="shared" si="1"/>
        <v>16044</v>
      </c>
      <c r="J54" s="2" t="s">
        <v>128</v>
      </c>
      <c r="K54" s="2" t="s">
        <v>97</v>
      </c>
      <c r="L54" s="2" t="s">
        <v>176</v>
      </c>
      <c r="M54" s="2" t="s">
        <v>184</v>
      </c>
      <c r="N54" s="2" t="s">
        <v>177</v>
      </c>
      <c r="O54" s="6" t="s">
        <v>185</v>
      </c>
      <c r="P54" s="2" t="s">
        <v>102</v>
      </c>
    </row>
    <row r="55" spans="1:16" ht="23">
      <c r="A55" s="2" t="s">
        <v>153</v>
      </c>
      <c r="B55" s="5">
        <v>45657</v>
      </c>
      <c r="C55" s="2" t="s">
        <v>54</v>
      </c>
      <c r="D55" s="2" t="s">
        <v>55</v>
      </c>
      <c r="E55" s="2" t="s">
        <v>94</v>
      </c>
      <c r="F55" s="2" t="s">
        <v>134</v>
      </c>
      <c r="G55" s="3">
        <v>2356</v>
      </c>
      <c r="H55" s="2" t="s">
        <v>134</v>
      </c>
      <c r="I55" s="4">
        <f t="shared" si="1"/>
        <v>2356</v>
      </c>
      <c r="J55" s="2" t="s">
        <v>128</v>
      </c>
      <c r="K55" s="2" t="s">
        <v>97</v>
      </c>
      <c r="L55" s="2" t="s">
        <v>176</v>
      </c>
      <c r="M55" s="2" t="s">
        <v>184</v>
      </c>
      <c r="N55" s="2" t="s">
        <v>177</v>
      </c>
      <c r="O55" s="6" t="s">
        <v>185</v>
      </c>
      <c r="P55" s="2" t="s">
        <v>102</v>
      </c>
    </row>
    <row r="56" spans="1:16" ht="23">
      <c r="A56" s="2" t="s">
        <v>153</v>
      </c>
      <c r="B56" s="5">
        <v>45657</v>
      </c>
      <c r="C56" s="2" t="s">
        <v>54</v>
      </c>
      <c r="D56" s="2" t="s">
        <v>55</v>
      </c>
      <c r="E56" s="2" t="s">
        <v>94</v>
      </c>
      <c r="F56" s="2" t="s">
        <v>135</v>
      </c>
      <c r="G56" s="3">
        <v>1671</v>
      </c>
      <c r="H56" s="2" t="s">
        <v>135</v>
      </c>
      <c r="I56" s="4">
        <f t="shared" si="1"/>
        <v>1671</v>
      </c>
      <c r="J56" s="2" t="s">
        <v>128</v>
      </c>
      <c r="K56" s="2" t="s">
        <v>97</v>
      </c>
      <c r="L56" s="2" t="s">
        <v>176</v>
      </c>
      <c r="M56" s="2" t="s">
        <v>184</v>
      </c>
      <c r="N56" s="2" t="s">
        <v>177</v>
      </c>
      <c r="O56" s="6" t="s">
        <v>185</v>
      </c>
      <c r="P56" s="2" t="s">
        <v>102</v>
      </c>
    </row>
    <row r="57" spans="1:16" ht="23">
      <c r="A57" s="2" t="s">
        <v>153</v>
      </c>
      <c r="B57" s="5">
        <v>45657</v>
      </c>
      <c r="C57" s="2" t="s">
        <v>54</v>
      </c>
      <c r="D57" s="2" t="s">
        <v>55</v>
      </c>
      <c r="E57" s="2" t="s">
        <v>94</v>
      </c>
      <c r="F57" s="2" t="s">
        <v>136</v>
      </c>
      <c r="G57" s="3">
        <v>2526</v>
      </c>
      <c r="H57" s="2" t="s">
        <v>136</v>
      </c>
      <c r="I57" s="4">
        <f t="shared" si="1"/>
        <v>2526</v>
      </c>
      <c r="J57" s="2" t="s">
        <v>128</v>
      </c>
      <c r="K57" s="2" t="s">
        <v>97</v>
      </c>
      <c r="L57" s="2" t="s">
        <v>176</v>
      </c>
      <c r="M57" s="2" t="s">
        <v>184</v>
      </c>
      <c r="N57" s="2" t="s">
        <v>177</v>
      </c>
      <c r="O57" s="6" t="s">
        <v>185</v>
      </c>
      <c r="P57" s="2" t="s">
        <v>102</v>
      </c>
    </row>
    <row r="58" spans="1:16" ht="23">
      <c r="A58" s="2" t="s">
        <v>153</v>
      </c>
      <c r="B58" s="5">
        <v>45657</v>
      </c>
      <c r="C58" s="2" t="s">
        <v>54</v>
      </c>
      <c r="D58" s="2" t="s">
        <v>55</v>
      </c>
      <c r="E58" s="2" t="s">
        <v>94</v>
      </c>
      <c r="F58" s="2" t="s">
        <v>179</v>
      </c>
      <c r="G58" s="3">
        <v>683</v>
      </c>
      <c r="H58" s="2" t="s">
        <v>179</v>
      </c>
      <c r="I58" s="4">
        <f t="shared" si="1"/>
        <v>683</v>
      </c>
      <c r="J58" s="2" t="s">
        <v>180</v>
      </c>
      <c r="K58" s="2" t="s">
        <v>97</v>
      </c>
      <c r="L58" s="2" t="s">
        <v>181</v>
      </c>
      <c r="M58" s="2" t="s">
        <v>184</v>
      </c>
      <c r="N58" s="2" t="s">
        <v>177</v>
      </c>
      <c r="O58" s="6" t="s">
        <v>185</v>
      </c>
      <c r="P58" s="2" t="s">
        <v>102</v>
      </c>
    </row>
    <row r="59" spans="1:16" ht="23">
      <c r="A59" s="2" t="s">
        <v>156</v>
      </c>
      <c r="B59" s="5">
        <v>46022</v>
      </c>
      <c r="C59" s="2" t="s">
        <v>54</v>
      </c>
      <c r="D59" s="2" t="s">
        <v>55</v>
      </c>
      <c r="E59" s="2" t="s">
        <v>186</v>
      </c>
      <c r="F59" s="2" t="s">
        <v>187</v>
      </c>
      <c r="G59" s="3"/>
      <c r="H59" s="2" t="s">
        <v>188</v>
      </c>
      <c r="I59" s="4"/>
      <c r="J59" s="2" t="s">
        <v>189</v>
      </c>
      <c r="K59" s="2" t="s">
        <v>190</v>
      </c>
      <c r="L59" s="2" t="s">
        <v>191</v>
      </c>
      <c r="M59" s="2" t="s">
        <v>192</v>
      </c>
      <c r="N59" s="2" t="s">
        <v>193</v>
      </c>
      <c r="O59" s="6" t="s">
        <v>194</v>
      </c>
      <c r="P59" s="2" t="s">
        <v>102</v>
      </c>
    </row>
    <row r="60" spans="1:16" ht="23">
      <c r="A60" s="2" t="s">
        <v>159</v>
      </c>
      <c r="B60" s="5"/>
      <c r="C60" s="2" t="s">
        <v>54</v>
      </c>
      <c r="D60" s="2" t="s">
        <v>55</v>
      </c>
      <c r="E60" s="2" t="s">
        <v>160</v>
      </c>
      <c r="F60" s="2" t="s">
        <v>161</v>
      </c>
      <c r="G60" s="3"/>
      <c r="H60" s="2" t="s">
        <v>162</v>
      </c>
      <c r="I60" s="4"/>
      <c r="J60" s="2" t="s">
        <v>195</v>
      </c>
      <c r="K60" s="2" t="s">
        <v>97</v>
      </c>
      <c r="L60" s="2" t="s">
        <v>196</v>
      </c>
      <c r="M60" s="2" t="s">
        <v>165</v>
      </c>
      <c r="N60" s="2" t="s">
        <v>166</v>
      </c>
      <c r="O60" s="6"/>
      <c r="P60" s="2" t="s">
        <v>167</v>
      </c>
    </row>
  </sheetData>
  <mergeCells count="2">
    <mergeCell ref="A1:P1"/>
    <mergeCell ref="A2:P2"/>
  </mergeCells>
  <conditionalFormatting sqref="K5:K60">
    <cfRule type="expression" dxfId="20" priority="1">
      <formula>K5="Yes"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0"/>
  <sheetViews>
    <sheetView workbookViewId="0">
      <selection sqref="A1:P1"/>
    </sheetView>
  </sheetViews>
  <sheetFormatPr defaultRowHeight="14"/>
  <cols>
    <col min="1" max="1" width="10" customWidth="1"/>
    <col min="2" max="2" width="14" customWidth="1"/>
    <col min="3" max="3" width="12" customWidth="1"/>
    <col min="4" max="4" width="13" customWidth="1"/>
    <col min="5" max="5" width="16" customWidth="1"/>
    <col min="6" max="6" width="31" customWidth="1"/>
    <col min="7" max="7" width="17" customWidth="1"/>
    <col min="8" max="8" width="26" customWidth="1"/>
    <col min="9" max="9" width="19" customWidth="1"/>
    <col min="10" max="10" width="36" customWidth="1"/>
    <col min="11" max="11" width="15" customWidth="1"/>
    <col min="12" max="12" width="46" customWidth="1"/>
    <col min="13" max="13" width="30" customWidth="1"/>
    <col min="14" max="14" width="28" customWidth="1"/>
    <col min="15" max="15" width="44" customWidth="1"/>
    <col min="16" max="16" width="12" customWidth="1"/>
  </cols>
  <sheetData>
    <row r="1" spans="1:16" ht="17.399999999999999" customHeight="1">
      <c r="A1" s="13" t="s">
        <v>197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16" customHeight="1">
      <c r="A2" s="14" t="s">
        <v>198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4" spans="1:16" ht="20" customHeight="1">
      <c r="A4" s="1" t="s">
        <v>78</v>
      </c>
      <c r="B4" s="1" t="s">
        <v>79</v>
      </c>
      <c r="C4" s="1" t="s">
        <v>80</v>
      </c>
      <c r="D4" s="1" t="s">
        <v>35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92</v>
      </c>
    </row>
    <row r="5" spans="1:16" ht="23">
      <c r="A5" s="2" t="s">
        <v>93</v>
      </c>
      <c r="B5" s="5">
        <v>44104</v>
      </c>
      <c r="C5" s="2" t="s">
        <v>62</v>
      </c>
      <c r="D5" s="2" t="s">
        <v>63</v>
      </c>
      <c r="E5" s="2" t="s">
        <v>94</v>
      </c>
      <c r="F5" s="2" t="s">
        <v>95</v>
      </c>
      <c r="G5" s="3">
        <v>904887</v>
      </c>
      <c r="H5" s="2" t="s">
        <v>95</v>
      </c>
      <c r="I5" s="4">
        <f>G5</f>
        <v>904887</v>
      </c>
      <c r="J5" s="2" t="s">
        <v>199</v>
      </c>
      <c r="K5" s="2" t="s">
        <v>97</v>
      </c>
      <c r="L5" s="2" t="s">
        <v>200</v>
      </c>
      <c r="M5" s="2" t="s">
        <v>201</v>
      </c>
      <c r="N5" s="2" t="s">
        <v>202</v>
      </c>
      <c r="O5" s="6" t="s">
        <v>203</v>
      </c>
      <c r="P5" s="2" t="s">
        <v>102</v>
      </c>
    </row>
    <row r="6" spans="1:16" ht="23">
      <c r="A6" s="2" t="s">
        <v>93</v>
      </c>
      <c r="B6" s="5">
        <v>44104</v>
      </c>
      <c r="C6" s="2" t="s">
        <v>62</v>
      </c>
      <c r="D6" s="2" t="s">
        <v>63</v>
      </c>
      <c r="E6" s="2" t="s">
        <v>94</v>
      </c>
      <c r="F6" s="2" t="s">
        <v>204</v>
      </c>
      <c r="G6" s="3">
        <v>1219302</v>
      </c>
      <c r="H6" s="2" t="s">
        <v>205</v>
      </c>
      <c r="I6" s="4"/>
      <c r="J6" s="2" t="s">
        <v>206</v>
      </c>
      <c r="K6" s="2" t="s">
        <v>97</v>
      </c>
      <c r="L6" s="2" t="s">
        <v>207</v>
      </c>
      <c r="M6" s="2" t="s">
        <v>201</v>
      </c>
      <c r="N6" s="2" t="s">
        <v>202</v>
      </c>
      <c r="O6" s="6" t="s">
        <v>203</v>
      </c>
      <c r="P6" s="2" t="s">
        <v>102</v>
      </c>
    </row>
    <row r="7" spans="1:16" ht="23">
      <c r="A7" s="2" t="s">
        <v>93</v>
      </c>
      <c r="B7" s="5">
        <v>44104</v>
      </c>
      <c r="C7" s="2" t="s">
        <v>62</v>
      </c>
      <c r="D7" s="2" t="s">
        <v>63</v>
      </c>
      <c r="E7" s="2" t="s">
        <v>94</v>
      </c>
      <c r="F7" s="2" t="s">
        <v>208</v>
      </c>
      <c r="G7" s="3">
        <v>1075252</v>
      </c>
      <c r="H7" s="2" t="s">
        <v>117</v>
      </c>
      <c r="I7" s="4">
        <f>G7</f>
        <v>1075252</v>
      </c>
      <c r="J7" s="2" t="s">
        <v>209</v>
      </c>
      <c r="K7" s="2" t="s">
        <v>97</v>
      </c>
      <c r="L7" s="2" t="s">
        <v>210</v>
      </c>
      <c r="M7" s="2" t="s">
        <v>201</v>
      </c>
      <c r="N7" s="2" t="s">
        <v>202</v>
      </c>
      <c r="O7" s="6" t="s">
        <v>203</v>
      </c>
      <c r="P7" s="2" t="s">
        <v>102</v>
      </c>
    </row>
    <row r="8" spans="1:16" ht="23">
      <c r="A8" s="2" t="s">
        <v>93</v>
      </c>
      <c r="B8" s="5">
        <v>44104</v>
      </c>
      <c r="C8" s="2" t="s">
        <v>62</v>
      </c>
      <c r="D8" s="2" t="s">
        <v>63</v>
      </c>
      <c r="E8" s="2" t="s">
        <v>94</v>
      </c>
      <c r="F8" s="2" t="s">
        <v>211</v>
      </c>
      <c r="G8" s="3">
        <v>426393</v>
      </c>
      <c r="H8" s="2" t="s">
        <v>122</v>
      </c>
      <c r="I8" s="4">
        <f>G8</f>
        <v>426393</v>
      </c>
      <c r="J8" s="2" t="s">
        <v>212</v>
      </c>
      <c r="K8" s="2" t="s">
        <v>97</v>
      </c>
      <c r="L8" s="2" t="s">
        <v>213</v>
      </c>
      <c r="M8" s="2" t="s">
        <v>201</v>
      </c>
      <c r="N8" s="2" t="s">
        <v>202</v>
      </c>
      <c r="O8" s="6" t="s">
        <v>203</v>
      </c>
      <c r="P8" s="2" t="s">
        <v>102</v>
      </c>
    </row>
    <row r="9" spans="1:16" ht="23">
      <c r="A9" s="2" t="s">
        <v>93</v>
      </c>
      <c r="B9" s="5">
        <v>44104</v>
      </c>
      <c r="C9" s="2" t="s">
        <v>62</v>
      </c>
      <c r="D9" s="2" t="s">
        <v>63</v>
      </c>
      <c r="E9" s="2" t="s">
        <v>94</v>
      </c>
      <c r="F9" s="2" t="s">
        <v>214</v>
      </c>
      <c r="G9" s="3">
        <v>814119</v>
      </c>
      <c r="H9" s="2" t="s">
        <v>215</v>
      </c>
      <c r="I9" s="4"/>
      <c r="J9" s="2" t="s">
        <v>216</v>
      </c>
      <c r="K9" s="2" t="s">
        <v>97</v>
      </c>
      <c r="L9" s="2" t="s">
        <v>217</v>
      </c>
      <c r="M9" s="2" t="s">
        <v>201</v>
      </c>
      <c r="N9" s="2" t="s">
        <v>202</v>
      </c>
      <c r="O9" s="6" t="s">
        <v>203</v>
      </c>
      <c r="P9" s="2" t="s">
        <v>102</v>
      </c>
    </row>
    <row r="10" spans="1:16" ht="23">
      <c r="A10" s="2" t="s">
        <v>126</v>
      </c>
      <c r="B10" s="5">
        <v>44469</v>
      </c>
      <c r="C10" s="2" t="s">
        <v>62</v>
      </c>
      <c r="D10" s="2" t="s">
        <v>63</v>
      </c>
      <c r="E10" s="2" t="s">
        <v>94</v>
      </c>
      <c r="F10" s="2" t="s">
        <v>95</v>
      </c>
      <c r="G10" s="3">
        <v>938417</v>
      </c>
      <c r="H10" s="2" t="s">
        <v>95</v>
      </c>
      <c r="I10" s="4">
        <f>G10</f>
        <v>938417</v>
      </c>
      <c r="J10" s="2" t="s">
        <v>199</v>
      </c>
      <c r="K10" s="2" t="s">
        <v>97</v>
      </c>
      <c r="L10" s="2" t="s">
        <v>200</v>
      </c>
      <c r="M10" s="2" t="s">
        <v>201</v>
      </c>
      <c r="N10" s="2" t="s">
        <v>202</v>
      </c>
      <c r="O10" s="6" t="s">
        <v>203</v>
      </c>
      <c r="P10" s="2" t="s">
        <v>102</v>
      </c>
    </row>
    <row r="11" spans="1:16" ht="23">
      <c r="A11" s="2" t="s">
        <v>126</v>
      </c>
      <c r="B11" s="5">
        <v>44469</v>
      </c>
      <c r="C11" s="2" t="s">
        <v>62</v>
      </c>
      <c r="D11" s="2" t="s">
        <v>63</v>
      </c>
      <c r="E11" s="2" t="s">
        <v>94</v>
      </c>
      <c r="F11" s="2" t="s">
        <v>204</v>
      </c>
      <c r="G11" s="3">
        <v>1231452</v>
      </c>
      <c r="H11" s="2" t="s">
        <v>205</v>
      </c>
      <c r="I11" s="4"/>
      <c r="J11" s="2" t="s">
        <v>206</v>
      </c>
      <c r="K11" s="2" t="s">
        <v>97</v>
      </c>
      <c r="L11" s="2" t="s">
        <v>207</v>
      </c>
      <c r="M11" s="2" t="s">
        <v>201</v>
      </c>
      <c r="N11" s="2" t="s">
        <v>202</v>
      </c>
      <c r="O11" s="6" t="s">
        <v>203</v>
      </c>
      <c r="P11" s="2" t="s">
        <v>102</v>
      </c>
    </row>
    <row r="12" spans="1:16" ht="23">
      <c r="A12" s="2" t="s">
        <v>126</v>
      </c>
      <c r="B12" s="5">
        <v>44469</v>
      </c>
      <c r="C12" s="2" t="s">
        <v>62</v>
      </c>
      <c r="D12" s="2" t="s">
        <v>63</v>
      </c>
      <c r="E12" s="2" t="s">
        <v>94</v>
      </c>
      <c r="F12" s="2" t="s">
        <v>208</v>
      </c>
      <c r="G12" s="3">
        <v>1045058</v>
      </c>
      <c r="H12" s="2" t="s">
        <v>117</v>
      </c>
      <c r="I12" s="4">
        <f>G12</f>
        <v>1045058</v>
      </c>
      <c r="J12" s="2" t="s">
        <v>209</v>
      </c>
      <c r="K12" s="2" t="s">
        <v>97</v>
      </c>
      <c r="L12" s="2" t="s">
        <v>210</v>
      </c>
      <c r="M12" s="2" t="s">
        <v>201</v>
      </c>
      <c r="N12" s="2" t="s">
        <v>202</v>
      </c>
      <c r="O12" s="6" t="s">
        <v>203</v>
      </c>
      <c r="P12" s="2" t="s">
        <v>102</v>
      </c>
    </row>
    <row r="13" spans="1:16" ht="23">
      <c r="A13" s="2" t="s">
        <v>126</v>
      </c>
      <c r="B13" s="5">
        <v>44469</v>
      </c>
      <c r="C13" s="2" t="s">
        <v>62</v>
      </c>
      <c r="D13" s="2" t="s">
        <v>63</v>
      </c>
      <c r="E13" s="2" t="s">
        <v>94</v>
      </c>
      <c r="F13" s="2" t="s">
        <v>211</v>
      </c>
      <c r="G13" s="3">
        <v>445740</v>
      </c>
      <c r="H13" s="2" t="s">
        <v>122</v>
      </c>
      <c r="I13" s="4">
        <f>G13</f>
        <v>445740</v>
      </c>
      <c r="J13" s="2" t="s">
        <v>212</v>
      </c>
      <c r="K13" s="2" t="s">
        <v>97</v>
      </c>
      <c r="L13" s="2" t="s">
        <v>213</v>
      </c>
      <c r="M13" s="2" t="s">
        <v>201</v>
      </c>
      <c r="N13" s="2" t="s">
        <v>202</v>
      </c>
      <c r="O13" s="6" t="s">
        <v>203</v>
      </c>
      <c r="P13" s="2" t="s">
        <v>102</v>
      </c>
    </row>
    <row r="14" spans="1:16" ht="23">
      <c r="A14" s="2" t="s">
        <v>126</v>
      </c>
      <c r="B14" s="5">
        <v>44469</v>
      </c>
      <c r="C14" s="2" t="s">
        <v>62</v>
      </c>
      <c r="D14" s="2" t="s">
        <v>63</v>
      </c>
      <c r="E14" s="2" t="s">
        <v>94</v>
      </c>
      <c r="F14" s="2" t="s">
        <v>214</v>
      </c>
      <c r="G14" s="3">
        <v>891374</v>
      </c>
      <c r="H14" s="2" t="s">
        <v>215</v>
      </c>
      <c r="I14" s="4"/>
      <c r="J14" s="2" t="s">
        <v>216</v>
      </c>
      <c r="K14" s="2" t="s">
        <v>97</v>
      </c>
      <c r="L14" s="2" t="s">
        <v>217</v>
      </c>
      <c r="M14" s="2" t="s">
        <v>201</v>
      </c>
      <c r="N14" s="2" t="s">
        <v>202</v>
      </c>
      <c r="O14" s="6" t="s">
        <v>203</v>
      </c>
      <c r="P14" s="2" t="s">
        <v>102</v>
      </c>
    </row>
    <row r="15" spans="1:16">
      <c r="A15" s="2" t="s">
        <v>126</v>
      </c>
      <c r="B15" s="5">
        <v>44469</v>
      </c>
      <c r="C15" s="2" t="s">
        <v>62</v>
      </c>
      <c r="D15" s="2" t="s">
        <v>63</v>
      </c>
      <c r="E15" s="2" t="s">
        <v>94</v>
      </c>
      <c r="F15" s="2" t="s">
        <v>127</v>
      </c>
      <c r="G15" s="3">
        <v>12126793</v>
      </c>
      <c r="H15" s="2" t="s">
        <v>127</v>
      </c>
      <c r="I15" s="4">
        <f>G15</f>
        <v>12126793</v>
      </c>
      <c r="J15" s="2" t="s">
        <v>218</v>
      </c>
      <c r="K15" s="2" t="s">
        <v>97</v>
      </c>
      <c r="L15" s="2" t="s">
        <v>219</v>
      </c>
      <c r="M15" s="2" t="s">
        <v>201</v>
      </c>
      <c r="N15" s="2" t="s">
        <v>220</v>
      </c>
      <c r="O15" s="6" t="s">
        <v>203</v>
      </c>
      <c r="P15" s="2" t="s">
        <v>102</v>
      </c>
    </row>
    <row r="16" spans="1:16" ht="23">
      <c r="A16" s="2" t="s">
        <v>126</v>
      </c>
      <c r="B16" s="5">
        <v>44469</v>
      </c>
      <c r="C16" s="2" t="s">
        <v>62</v>
      </c>
      <c r="D16" s="2" t="s">
        <v>63</v>
      </c>
      <c r="E16" s="2" t="s">
        <v>94</v>
      </c>
      <c r="F16" s="2" t="s">
        <v>221</v>
      </c>
      <c r="G16" s="3">
        <v>10178164</v>
      </c>
      <c r="H16" s="2" t="s">
        <v>222</v>
      </c>
      <c r="I16" s="4"/>
      <c r="J16" s="2" t="s">
        <v>218</v>
      </c>
      <c r="K16" s="2" t="s">
        <v>97</v>
      </c>
      <c r="L16" s="2" t="s">
        <v>219</v>
      </c>
      <c r="M16" s="2" t="s">
        <v>201</v>
      </c>
      <c r="N16" s="2" t="s">
        <v>220</v>
      </c>
      <c r="O16" s="6" t="s">
        <v>203</v>
      </c>
      <c r="P16" s="2" t="s">
        <v>102</v>
      </c>
    </row>
    <row r="17" spans="1:16">
      <c r="A17" s="2" t="s">
        <v>126</v>
      </c>
      <c r="B17" s="5">
        <v>44469</v>
      </c>
      <c r="C17" s="2" t="s">
        <v>62</v>
      </c>
      <c r="D17" s="2" t="s">
        <v>63</v>
      </c>
      <c r="E17" s="2" t="s">
        <v>94</v>
      </c>
      <c r="F17" s="2" t="s">
        <v>223</v>
      </c>
      <c r="G17" s="3">
        <v>1369072</v>
      </c>
      <c r="H17" s="2" t="s">
        <v>135</v>
      </c>
      <c r="I17" s="4">
        <f>G17</f>
        <v>1369072</v>
      </c>
      <c r="J17" s="2" t="s">
        <v>218</v>
      </c>
      <c r="K17" s="2" t="s">
        <v>97</v>
      </c>
      <c r="L17" s="2" t="s">
        <v>219</v>
      </c>
      <c r="M17" s="2" t="s">
        <v>201</v>
      </c>
      <c r="N17" s="2" t="s">
        <v>220</v>
      </c>
      <c r="O17" s="6" t="s">
        <v>203</v>
      </c>
      <c r="P17" s="2" t="s">
        <v>102</v>
      </c>
    </row>
    <row r="18" spans="1:16">
      <c r="A18" s="2" t="s">
        <v>126</v>
      </c>
      <c r="B18" s="5">
        <v>44469</v>
      </c>
      <c r="C18" s="2" t="s">
        <v>62</v>
      </c>
      <c r="D18" s="2" t="s">
        <v>63</v>
      </c>
      <c r="E18" s="2" t="s">
        <v>94</v>
      </c>
      <c r="F18" s="2" t="s">
        <v>136</v>
      </c>
      <c r="G18" s="3">
        <v>2115928</v>
      </c>
      <c r="H18" s="2" t="s">
        <v>136</v>
      </c>
      <c r="I18" s="4">
        <f>G18</f>
        <v>2115928</v>
      </c>
      <c r="J18" s="2" t="s">
        <v>218</v>
      </c>
      <c r="K18" s="2" t="s">
        <v>97</v>
      </c>
      <c r="L18" s="2" t="s">
        <v>219</v>
      </c>
      <c r="M18" s="2" t="s">
        <v>201</v>
      </c>
      <c r="N18" s="2" t="s">
        <v>220</v>
      </c>
      <c r="O18" s="6" t="s">
        <v>203</v>
      </c>
      <c r="P18" s="2" t="s">
        <v>102</v>
      </c>
    </row>
    <row r="19" spans="1:16">
      <c r="A19" s="2" t="s">
        <v>126</v>
      </c>
      <c r="B19" s="5">
        <v>44469</v>
      </c>
      <c r="C19" s="2" t="s">
        <v>62</v>
      </c>
      <c r="D19" s="2" t="s">
        <v>63</v>
      </c>
      <c r="E19" s="2" t="s">
        <v>94</v>
      </c>
      <c r="F19" s="2" t="s">
        <v>224</v>
      </c>
      <c r="G19" s="3">
        <v>1837992</v>
      </c>
      <c r="H19" s="2" t="s">
        <v>225</v>
      </c>
      <c r="I19" s="4"/>
      <c r="J19" s="2" t="s">
        <v>218</v>
      </c>
      <c r="K19" s="2" t="s">
        <v>97</v>
      </c>
      <c r="L19" s="2" t="s">
        <v>219</v>
      </c>
      <c r="M19" s="2" t="s">
        <v>201</v>
      </c>
      <c r="N19" s="2" t="s">
        <v>220</v>
      </c>
      <c r="O19" s="6" t="s">
        <v>203</v>
      </c>
      <c r="P19" s="2" t="s">
        <v>102</v>
      </c>
    </row>
    <row r="20" spans="1:16">
      <c r="A20" s="2" t="s">
        <v>126</v>
      </c>
      <c r="B20" s="5">
        <v>44469</v>
      </c>
      <c r="C20" s="2" t="s">
        <v>62</v>
      </c>
      <c r="D20" s="2" t="s">
        <v>63</v>
      </c>
      <c r="E20" s="2" t="s">
        <v>94</v>
      </c>
      <c r="F20" s="2" t="s">
        <v>226</v>
      </c>
      <c r="G20" s="3">
        <v>106798</v>
      </c>
      <c r="H20" s="2" t="s">
        <v>225</v>
      </c>
      <c r="I20" s="4"/>
      <c r="J20" s="2" t="s">
        <v>218</v>
      </c>
      <c r="K20" s="2" t="s">
        <v>97</v>
      </c>
      <c r="L20" s="2" t="s">
        <v>219</v>
      </c>
      <c r="M20" s="2" t="s">
        <v>201</v>
      </c>
      <c r="N20" s="2" t="s">
        <v>220</v>
      </c>
      <c r="O20" s="6" t="s">
        <v>203</v>
      </c>
      <c r="P20" s="2" t="s">
        <v>102</v>
      </c>
    </row>
    <row r="21" spans="1:16">
      <c r="A21" s="2" t="s">
        <v>126</v>
      </c>
      <c r="B21" s="5">
        <v>44469</v>
      </c>
      <c r="C21" s="2" t="s">
        <v>62</v>
      </c>
      <c r="D21" s="2" t="s">
        <v>63</v>
      </c>
      <c r="E21" s="2" t="s">
        <v>94</v>
      </c>
      <c r="F21" s="2" t="s">
        <v>227</v>
      </c>
      <c r="G21" s="3">
        <v>-3532</v>
      </c>
      <c r="H21" s="2" t="s">
        <v>225</v>
      </c>
      <c r="I21" s="4"/>
      <c r="J21" s="2" t="s">
        <v>218</v>
      </c>
      <c r="K21" s="2" t="s">
        <v>97</v>
      </c>
      <c r="L21" s="2" t="s">
        <v>219</v>
      </c>
      <c r="M21" s="2" t="s">
        <v>201</v>
      </c>
      <c r="N21" s="2" t="s">
        <v>220</v>
      </c>
      <c r="O21" s="6" t="s">
        <v>203</v>
      </c>
      <c r="P21" s="2" t="s">
        <v>102</v>
      </c>
    </row>
    <row r="22" spans="1:16">
      <c r="A22" s="2" t="s">
        <v>126</v>
      </c>
      <c r="B22" s="5">
        <v>44469</v>
      </c>
      <c r="C22" s="2" t="s">
        <v>62</v>
      </c>
      <c r="D22" s="2" t="s">
        <v>63</v>
      </c>
      <c r="E22" s="2" t="s">
        <v>94</v>
      </c>
      <c r="F22" s="2" t="s">
        <v>228</v>
      </c>
      <c r="G22" s="3">
        <v>144423</v>
      </c>
      <c r="H22" s="2" t="s">
        <v>229</v>
      </c>
      <c r="I22" s="4"/>
      <c r="J22" s="2" t="s">
        <v>218</v>
      </c>
      <c r="K22" s="2" t="s">
        <v>97</v>
      </c>
      <c r="L22" s="2" t="s">
        <v>219</v>
      </c>
      <c r="M22" s="2" t="s">
        <v>201</v>
      </c>
      <c r="N22" s="2" t="s">
        <v>220</v>
      </c>
      <c r="O22" s="6" t="s">
        <v>203</v>
      </c>
      <c r="P22" s="2" t="s">
        <v>102</v>
      </c>
    </row>
    <row r="23" spans="1:16">
      <c r="A23" s="2" t="s">
        <v>126</v>
      </c>
      <c r="B23" s="5">
        <v>44469</v>
      </c>
      <c r="C23" s="2" t="s">
        <v>62</v>
      </c>
      <c r="D23" s="2" t="s">
        <v>63</v>
      </c>
      <c r="E23" s="2" t="s">
        <v>94</v>
      </c>
      <c r="F23" s="2" t="s">
        <v>230</v>
      </c>
      <c r="G23" s="3">
        <v>160240</v>
      </c>
      <c r="H23" s="2" t="s">
        <v>229</v>
      </c>
      <c r="I23" s="4"/>
      <c r="J23" s="2" t="s">
        <v>218</v>
      </c>
      <c r="K23" s="2" t="s">
        <v>97</v>
      </c>
      <c r="L23" s="2" t="s">
        <v>219</v>
      </c>
      <c r="M23" s="2" t="s">
        <v>201</v>
      </c>
      <c r="N23" s="2" t="s">
        <v>220</v>
      </c>
      <c r="O23" s="6" t="s">
        <v>203</v>
      </c>
      <c r="P23" s="2" t="s">
        <v>102</v>
      </c>
    </row>
    <row r="24" spans="1:16">
      <c r="A24" s="2" t="s">
        <v>126</v>
      </c>
      <c r="B24" s="5">
        <v>44469</v>
      </c>
      <c r="C24" s="2" t="s">
        <v>62</v>
      </c>
      <c r="D24" s="2" t="s">
        <v>63</v>
      </c>
      <c r="E24" s="2" t="s">
        <v>94</v>
      </c>
      <c r="F24" s="2" t="s">
        <v>231</v>
      </c>
      <c r="G24" s="3">
        <v>61369</v>
      </c>
      <c r="H24" s="2" t="s">
        <v>139</v>
      </c>
      <c r="I24" s="4"/>
      <c r="J24" s="2" t="s">
        <v>218</v>
      </c>
      <c r="K24" s="2" t="s">
        <v>97</v>
      </c>
      <c r="L24" s="2" t="s">
        <v>219</v>
      </c>
      <c r="M24" s="2" t="s">
        <v>201</v>
      </c>
      <c r="N24" s="2" t="s">
        <v>220</v>
      </c>
      <c r="O24" s="6" t="s">
        <v>203</v>
      </c>
      <c r="P24" s="2" t="s">
        <v>102</v>
      </c>
    </row>
    <row r="25" spans="1:16">
      <c r="A25" s="2" t="s">
        <v>126</v>
      </c>
      <c r="B25" s="5">
        <v>44469</v>
      </c>
      <c r="C25" s="2" t="s">
        <v>62</v>
      </c>
      <c r="D25" s="2" t="s">
        <v>63</v>
      </c>
      <c r="E25" s="2" t="s">
        <v>94</v>
      </c>
      <c r="F25" s="2" t="s">
        <v>232</v>
      </c>
      <c r="G25" s="3">
        <v>129861</v>
      </c>
      <c r="H25" s="2" t="s">
        <v>139</v>
      </c>
      <c r="I25" s="4"/>
      <c r="J25" s="2" t="s">
        <v>218</v>
      </c>
      <c r="K25" s="2" t="s">
        <v>97</v>
      </c>
      <c r="L25" s="2" t="s">
        <v>219</v>
      </c>
      <c r="M25" s="2" t="s">
        <v>201</v>
      </c>
      <c r="N25" s="2" t="s">
        <v>220</v>
      </c>
      <c r="O25" s="6" t="s">
        <v>203</v>
      </c>
      <c r="P25" s="2" t="s">
        <v>102</v>
      </c>
    </row>
    <row r="26" spans="1:16">
      <c r="A26" s="2" t="s">
        <v>126</v>
      </c>
      <c r="B26" s="5">
        <v>44469</v>
      </c>
      <c r="C26" s="2" t="s">
        <v>62</v>
      </c>
      <c r="D26" s="2" t="s">
        <v>63</v>
      </c>
      <c r="E26" s="2" t="s">
        <v>94</v>
      </c>
      <c r="F26" s="2" t="s">
        <v>233</v>
      </c>
      <c r="G26" s="3">
        <v>2611</v>
      </c>
      <c r="H26" s="2" t="s">
        <v>139</v>
      </c>
      <c r="I26" s="4"/>
      <c r="J26" s="2" t="s">
        <v>218</v>
      </c>
      <c r="K26" s="2" t="s">
        <v>97</v>
      </c>
      <c r="L26" s="2" t="s">
        <v>219</v>
      </c>
      <c r="M26" s="2" t="s">
        <v>201</v>
      </c>
      <c r="N26" s="2" t="s">
        <v>220</v>
      </c>
      <c r="O26" s="6" t="s">
        <v>203</v>
      </c>
      <c r="P26" s="2" t="s">
        <v>102</v>
      </c>
    </row>
    <row r="27" spans="1:16">
      <c r="A27" s="2" t="s">
        <v>126</v>
      </c>
      <c r="B27" s="5">
        <v>44469</v>
      </c>
      <c r="C27" s="2" t="s">
        <v>62</v>
      </c>
      <c r="D27" s="2" t="s">
        <v>63</v>
      </c>
      <c r="E27" s="2" t="s">
        <v>141</v>
      </c>
      <c r="F27" s="2" t="s">
        <v>234</v>
      </c>
      <c r="G27" s="3"/>
      <c r="H27" s="2" t="s">
        <v>134</v>
      </c>
      <c r="I27" s="4">
        <f>G19+G20+G21</f>
        <v>1941258</v>
      </c>
      <c r="J27" s="2" t="s">
        <v>235</v>
      </c>
      <c r="K27" s="2" t="s">
        <v>97</v>
      </c>
      <c r="L27" s="2" t="s">
        <v>236</v>
      </c>
      <c r="M27" s="2" t="s">
        <v>201</v>
      </c>
      <c r="N27" s="2" t="s">
        <v>237</v>
      </c>
      <c r="O27" s="6" t="s">
        <v>203</v>
      </c>
      <c r="P27" s="2" t="s">
        <v>102</v>
      </c>
    </row>
    <row r="28" spans="1:16">
      <c r="A28" s="2" t="s">
        <v>126</v>
      </c>
      <c r="B28" s="5">
        <v>44469</v>
      </c>
      <c r="C28" s="2" t="s">
        <v>62</v>
      </c>
      <c r="D28" s="2" t="s">
        <v>63</v>
      </c>
      <c r="E28" s="2" t="s">
        <v>141</v>
      </c>
      <c r="F28" s="2" t="s">
        <v>238</v>
      </c>
      <c r="G28" s="3"/>
      <c r="H28" s="2" t="s">
        <v>137</v>
      </c>
      <c r="I28" s="4">
        <f>G22+G23</f>
        <v>304663</v>
      </c>
      <c r="J28" s="2" t="s">
        <v>239</v>
      </c>
      <c r="K28" s="2" t="s">
        <v>97</v>
      </c>
      <c r="L28" s="2" t="s">
        <v>240</v>
      </c>
      <c r="M28" s="2" t="s">
        <v>201</v>
      </c>
      <c r="N28" s="2" t="s">
        <v>241</v>
      </c>
      <c r="O28" s="6" t="s">
        <v>203</v>
      </c>
      <c r="P28" s="2" t="s">
        <v>102</v>
      </c>
    </row>
    <row r="29" spans="1:16">
      <c r="A29" s="2" t="s">
        <v>126</v>
      </c>
      <c r="B29" s="5">
        <v>44469</v>
      </c>
      <c r="C29" s="2" t="s">
        <v>62</v>
      </c>
      <c r="D29" s="2" t="s">
        <v>63</v>
      </c>
      <c r="E29" s="2" t="s">
        <v>141</v>
      </c>
      <c r="F29" s="2" t="s">
        <v>242</v>
      </c>
      <c r="G29" s="3"/>
      <c r="H29" s="2" t="s">
        <v>143</v>
      </c>
      <c r="I29" s="4">
        <f>G24+G25+G26</f>
        <v>193841</v>
      </c>
      <c r="J29" s="2" t="s">
        <v>243</v>
      </c>
      <c r="K29" s="2" t="s">
        <v>97</v>
      </c>
      <c r="L29" s="2" t="s">
        <v>244</v>
      </c>
      <c r="M29" s="2" t="s">
        <v>201</v>
      </c>
      <c r="N29" s="2" t="s">
        <v>241</v>
      </c>
      <c r="O29" s="6" t="s">
        <v>203</v>
      </c>
      <c r="P29" s="2" t="s">
        <v>102</v>
      </c>
    </row>
    <row r="30" spans="1:16" ht="23">
      <c r="A30" s="2" t="s">
        <v>147</v>
      </c>
      <c r="B30" s="5">
        <v>44834</v>
      </c>
      <c r="C30" s="2" t="s">
        <v>62</v>
      </c>
      <c r="D30" s="2" t="s">
        <v>63</v>
      </c>
      <c r="E30" s="2" t="s">
        <v>94</v>
      </c>
      <c r="F30" s="2" t="s">
        <v>95</v>
      </c>
      <c r="G30" s="3">
        <v>1106187</v>
      </c>
      <c r="H30" s="2" t="s">
        <v>95</v>
      </c>
      <c r="I30" s="4">
        <f>G30</f>
        <v>1106187</v>
      </c>
      <c r="J30" s="2" t="s">
        <v>199</v>
      </c>
      <c r="K30" s="2" t="s">
        <v>97</v>
      </c>
      <c r="L30" s="2" t="s">
        <v>200</v>
      </c>
      <c r="M30" s="2" t="s">
        <v>245</v>
      </c>
      <c r="N30" s="2" t="s">
        <v>202</v>
      </c>
      <c r="O30" s="6" t="s">
        <v>246</v>
      </c>
      <c r="P30" s="2" t="s">
        <v>102</v>
      </c>
    </row>
    <row r="31" spans="1:16" ht="23">
      <c r="A31" s="2" t="s">
        <v>147</v>
      </c>
      <c r="B31" s="5">
        <v>44834</v>
      </c>
      <c r="C31" s="2" t="s">
        <v>62</v>
      </c>
      <c r="D31" s="2" t="s">
        <v>63</v>
      </c>
      <c r="E31" s="2" t="s">
        <v>94</v>
      </c>
      <c r="F31" s="2" t="s">
        <v>204</v>
      </c>
      <c r="G31" s="3">
        <v>1363545</v>
      </c>
      <c r="H31" s="2" t="s">
        <v>205</v>
      </c>
      <c r="I31" s="4"/>
      <c r="J31" s="2" t="s">
        <v>206</v>
      </c>
      <c r="K31" s="2" t="s">
        <v>97</v>
      </c>
      <c r="L31" s="2" t="s">
        <v>207</v>
      </c>
      <c r="M31" s="2" t="s">
        <v>245</v>
      </c>
      <c r="N31" s="2" t="s">
        <v>202</v>
      </c>
      <c r="O31" s="6" t="s">
        <v>246</v>
      </c>
      <c r="P31" s="2" t="s">
        <v>102</v>
      </c>
    </row>
    <row r="32" spans="1:16" ht="23">
      <c r="A32" s="2" t="s">
        <v>147</v>
      </c>
      <c r="B32" s="5">
        <v>44834</v>
      </c>
      <c r="C32" s="2" t="s">
        <v>62</v>
      </c>
      <c r="D32" s="2" t="s">
        <v>63</v>
      </c>
      <c r="E32" s="2" t="s">
        <v>94</v>
      </c>
      <c r="F32" s="2" t="s">
        <v>208</v>
      </c>
      <c r="G32" s="3">
        <v>1191844</v>
      </c>
      <c r="H32" s="2" t="s">
        <v>117</v>
      </c>
      <c r="I32" s="4">
        <f>G32</f>
        <v>1191844</v>
      </c>
      <c r="J32" s="2" t="s">
        <v>209</v>
      </c>
      <c r="K32" s="2" t="s">
        <v>97</v>
      </c>
      <c r="L32" s="2" t="s">
        <v>210</v>
      </c>
      <c r="M32" s="2" t="s">
        <v>245</v>
      </c>
      <c r="N32" s="2" t="s">
        <v>202</v>
      </c>
      <c r="O32" s="6" t="s">
        <v>246</v>
      </c>
      <c r="P32" s="2" t="s">
        <v>102</v>
      </c>
    </row>
    <row r="33" spans="1:16" ht="23">
      <c r="A33" s="2" t="s">
        <v>147</v>
      </c>
      <c r="B33" s="5">
        <v>44834</v>
      </c>
      <c r="C33" s="2" t="s">
        <v>62</v>
      </c>
      <c r="D33" s="2" t="s">
        <v>63</v>
      </c>
      <c r="E33" s="2" t="s">
        <v>94</v>
      </c>
      <c r="F33" s="2" t="s">
        <v>211</v>
      </c>
      <c r="G33" s="3">
        <v>453579</v>
      </c>
      <c r="H33" s="2" t="s">
        <v>122</v>
      </c>
      <c r="I33" s="4">
        <f>G33</f>
        <v>453579</v>
      </c>
      <c r="J33" s="2" t="s">
        <v>212</v>
      </c>
      <c r="K33" s="2" t="s">
        <v>97</v>
      </c>
      <c r="L33" s="2" t="s">
        <v>213</v>
      </c>
      <c r="M33" s="2" t="s">
        <v>245</v>
      </c>
      <c r="N33" s="2" t="s">
        <v>202</v>
      </c>
      <c r="O33" s="6" t="s">
        <v>246</v>
      </c>
      <c r="P33" s="2" t="s">
        <v>102</v>
      </c>
    </row>
    <row r="34" spans="1:16" ht="23">
      <c r="A34" s="2" t="s">
        <v>147</v>
      </c>
      <c r="B34" s="5">
        <v>44834</v>
      </c>
      <c r="C34" s="2" t="s">
        <v>62</v>
      </c>
      <c r="D34" s="2" t="s">
        <v>63</v>
      </c>
      <c r="E34" s="2" t="s">
        <v>94</v>
      </c>
      <c r="F34" s="2" t="s">
        <v>214</v>
      </c>
      <c r="G34" s="3">
        <v>1016407</v>
      </c>
      <c r="H34" s="2" t="s">
        <v>215</v>
      </c>
      <c r="I34" s="4"/>
      <c r="J34" s="2" t="s">
        <v>216</v>
      </c>
      <c r="K34" s="2" t="s">
        <v>97</v>
      </c>
      <c r="L34" s="2" t="s">
        <v>217</v>
      </c>
      <c r="M34" s="2" t="s">
        <v>245</v>
      </c>
      <c r="N34" s="2" t="s">
        <v>202</v>
      </c>
      <c r="O34" s="6" t="s">
        <v>246</v>
      </c>
      <c r="P34" s="2" t="s">
        <v>102</v>
      </c>
    </row>
    <row r="35" spans="1:16">
      <c r="A35" s="2" t="s">
        <v>147</v>
      </c>
      <c r="B35" s="5">
        <v>44834</v>
      </c>
      <c r="C35" s="2" t="s">
        <v>62</v>
      </c>
      <c r="D35" s="2" t="s">
        <v>63</v>
      </c>
      <c r="E35" s="2" t="s">
        <v>94</v>
      </c>
      <c r="F35" s="2" t="s">
        <v>127</v>
      </c>
      <c r="G35" s="3">
        <v>12867201</v>
      </c>
      <c r="H35" s="2" t="s">
        <v>127</v>
      </c>
      <c r="I35" s="4">
        <f>G35</f>
        <v>12867201</v>
      </c>
      <c r="J35" s="2" t="s">
        <v>218</v>
      </c>
      <c r="K35" s="2" t="s">
        <v>97</v>
      </c>
      <c r="L35" s="2" t="s">
        <v>219</v>
      </c>
      <c r="M35" s="2" t="s">
        <v>245</v>
      </c>
      <c r="N35" s="2" t="s">
        <v>220</v>
      </c>
      <c r="O35" s="6" t="s">
        <v>246</v>
      </c>
      <c r="P35" s="2" t="s">
        <v>102</v>
      </c>
    </row>
    <row r="36" spans="1:16" ht="23">
      <c r="A36" s="2" t="s">
        <v>147</v>
      </c>
      <c r="B36" s="5">
        <v>44834</v>
      </c>
      <c r="C36" s="2" t="s">
        <v>62</v>
      </c>
      <c r="D36" s="2" t="s">
        <v>63</v>
      </c>
      <c r="E36" s="2" t="s">
        <v>94</v>
      </c>
      <c r="F36" s="2" t="s">
        <v>221</v>
      </c>
      <c r="G36" s="3">
        <v>10776564</v>
      </c>
      <c r="H36" s="2" t="s">
        <v>222</v>
      </c>
      <c r="I36" s="4"/>
      <c r="J36" s="2" t="s">
        <v>218</v>
      </c>
      <c r="K36" s="2" t="s">
        <v>97</v>
      </c>
      <c r="L36" s="2" t="s">
        <v>219</v>
      </c>
      <c r="M36" s="2" t="s">
        <v>245</v>
      </c>
      <c r="N36" s="2" t="s">
        <v>220</v>
      </c>
      <c r="O36" s="6" t="s">
        <v>246</v>
      </c>
      <c r="P36" s="2" t="s">
        <v>102</v>
      </c>
    </row>
    <row r="37" spans="1:16">
      <c r="A37" s="2" t="s">
        <v>147</v>
      </c>
      <c r="B37" s="5">
        <v>44834</v>
      </c>
      <c r="C37" s="2" t="s">
        <v>62</v>
      </c>
      <c r="D37" s="2" t="s">
        <v>63</v>
      </c>
      <c r="E37" s="2" t="s">
        <v>94</v>
      </c>
      <c r="F37" s="2" t="s">
        <v>223</v>
      </c>
      <c r="G37" s="3">
        <v>1466142</v>
      </c>
      <c r="H37" s="2" t="s">
        <v>135</v>
      </c>
      <c r="I37" s="4">
        <f>G37</f>
        <v>1466142</v>
      </c>
      <c r="J37" s="2" t="s">
        <v>218</v>
      </c>
      <c r="K37" s="2" t="s">
        <v>97</v>
      </c>
      <c r="L37" s="2" t="s">
        <v>219</v>
      </c>
      <c r="M37" s="2" t="s">
        <v>245</v>
      </c>
      <c r="N37" s="2" t="s">
        <v>220</v>
      </c>
      <c r="O37" s="6" t="s">
        <v>246</v>
      </c>
      <c r="P37" s="2" t="s">
        <v>102</v>
      </c>
    </row>
    <row r="38" spans="1:16">
      <c r="A38" s="2" t="s">
        <v>147</v>
      </c>
      <c r="B38" s="5">
        <v>44834</v>
      </c>
      <c r="C38" s="2" t="s">
        <v>62</v>
      </c>
      <c r="D38" s="2" t="s">
        <v>63</v>
      </c>
      <c r="E38" s="2" t="s">
        <v>94</v>
      </c>
      <c r="F38" s="2" t="s">
        <v>136</v>
      </c>
      <c r="G38" s="3">
        <v>1864998</v>
      </c>
      <c r="H38" s="2" t="s">
        <v>136</v>
      </c>
      <c r="I38" s="4">
        <f>G38</f>
        <v>1864998</v>
      </c>
      <c r="J38" s="2" t="s">
        <v>218</v>
      </c>
      <c r="K38" s="2" t="s">
        <v>97</v>
      </c>
      <c r="L38" s="2" t="s">
        <v>219</v>
      </c>
      <c r="M38" s="2" t="s">
        <v>245</v>
      </c>
      <c r="N38" s="2" t="s">
        <v>220</v>
      </c>
      <c r="O38" s="6" t="s">
        <v>246</v>
      </c>
      <c r="P38" s="2" t="s">
        <v>102</v>
      </c>
    </row>
    <row r="39" spans="1:16">
      <c r="A39" s="2" t="s">
        <v>147</v>
      </c>
      <c r="B39" s="5">
        <v>44834</v>
      </c>
      <c r="C39" s="2" t="s">
        <v>62</v>
      </c>
      <c r="D39" s="2" t="s">
        <v>63</v>
      </c>
      <c r="E39" s="2" t="s">
        <v>94</v>
      </c>
      <c r="F39" s="2" t="s">
        <v>224</v>
      </c>
      <c r="G39" s="3">
        <v>1966959</v>
      </c>
      <c r="H39" s="2" t="s">
        <v>225</v>
      </c>
      <c r="I39" s="4"/>
      <c r="J39" s="2" t="s">
        <v>218</v>
      </c>
      <c r="K39" s="2" t="s">
        <v>97</v>
      </c>
      <c r="L39" s="2" t="s">
        <v>219</v>
      </c>
      <c r="M39" s="2" t="s">
        <v>245</v>
      </c>
      <c r="N39" s="2" t="s">
        <v>220</v>
      </c>
      <c r="O39" s="6" t="s">
        <v>246</v>
      </c>
      <c r="P39" s="2" t="s">
        <v>102</v>
      </c>
    </row>
    <row r="40" spans="1:16">
      <c r="A40" s="2" t="s">
        <v>147</v>
      </c>
      <c r="B40" s="5">
        <v>44834</v>
      </c>
      <c r="C40" s="2" t="s">
        <v>62</v>
      </c>
      <c r="D40" s="2" t="s">
        <v>63</v>
      </c>
      <c r="E40" s="2" t="s">
        <v>94</v>
      </c>
      <c r="F40" s="2" t="s">
        <v>226</v>
      </c>
      <c r="G40" s="3">
        <v>92023</v>
      </c>
      <c r="H40" s="2" t="s">
        <v>225</v>
      </c>
      <c r="I40" s="4"/>
      <c r="J40" s="2" t="s">
        <v>218</v>
      </c>
      <c r="K40" s="2" t="s">
        <v>97</v>
      </c>
      <c r="L40" s="2" t="s">
        <v>219</v>
      </c>
      <c r="M40" s="2" t="s">
        <v>245</v>
      </c>
      <c r="N40" s="2" t="s">
        <v>220</v>
      </c>
      <c r="O40" s="6" t="s">
        <v>246</v>
      </c>
      <c r="P40" s="2" t="s">
        <v>102</v>
      </c>
    </row>
    <row r="41" spans="1:16">
      <c r="A41" s="2" t="s">
        <v>147</v>
      </c>
      <c r="B41" s="5">
        <v>44834</v>
      </c>
      <c r="C41" s="2" t="s">
        <v>62</v>
      </c>
      <c r="D41" s="2" t="s">
        <v>63</v>
      </c>
      <c r="E41" s="2" t="s">
        <v>94</v>
      </c>
      <c r="F41" s="2" t="s">
        <v>227</v>
      </c>
      <c r="G41" s="3">
        <v>4001</v>
      </c>
      <c r="H41" s="2" t="s">
        <v>225</v>
      </c>
      <c r="I41" s="4"/>
      <c r="J41" s="2" t="s">
        <v>218</v>
      </c>
      <c r="K41" s="2" t="s">
        <v>97</v>
      </c>
      <c r="L41" s="2" t="s">
        <v>219</v>
      </c>
      <c r="M41" s="2" t="s">
        <v>245</v>
      </c>
      <c r="N41" s="2" t="s">
        <v>220</v>
      </c>
      <c r="O41" s="6" t="s">
        <v>246</v>
      </c>
      <c r="P41" s="2" t="s">
        <v>102</v>
      </c>
    </row>
    <row r="42" spans="1:16">
      <c r="A42" s="2" t="s">
        <v>147</v>
      </c>
      <c r="B42" s="5">
        <v>44834</v>
      </c>
      <c r="C42" s="2" t="s">
        <v>62</v>
      </c>
      <c r="D42" s="2" t="s">
        <v>63</v>
      </c>
      <c r="E42" s="2" t="s">
        <v>94</v>
      </c>
      <c r="F42" s="2" t="s">
        <v>228</v>
      </c>
      <c r="G42" s="3">
        <v>133651</v>
      </c>
      <c r="H42" s="2" t="s">
        <v>229</v>
      </c>
      <c r="I42" s="4"/>
      <c r="J42" s="2" t="s">
        <v>218</v>
      </c>
      <c r="K42" s="2" t="s">
        <v>97</v>
      </c>
      <c r="L42" s="2" t="s">
        <v>219</v>
      </c>
      <c r="M42" s="2" t="s">
        <v>245</v>
      </c>
      <c r="N42" s="2" t="s">
        <v>220</v>
      </c>
      <c r="O42" s="6" t="s">
        <v>246</v>
      </c>
      <c r="P42" s="2" t="s">
        <v>102</v>
      </c>
    </row>
    <row r="43" spans="1:16">
      <c r="A43" s="2" t="s">
        <v>147</v>
      </c>
      <c r="B43" s="5">
        <v>44834</v>
      </c>
      <c r="C43" s="2" t="s">
        <v>62</v>
      </c>
      <c r="D43" s="2" t="s">
        <v>63</v>
      </c>
      <c r="E43" s="2" t="s">
        <v>94</v>
      </c>
      <c r="F43" s="2" t="s">
        <v>230</v>
      </c>
      <c r="G43" s="3">
        <v>141295</v>
      </c>
      <c r="H43" s="2" t="s">
        <v>229</v>
      </c>
      <c r="I43" s="4"/>
      <c r="J43" s="2" t="s">
        <v>218</v>
      </c>
      <c r="K43" s="2" t="s">
        <v>97</v>
      </c>
      <c r="L43" s="2" t="s">
        <v>219</v>
      </c>
      <c r="M43" s="2" t="s">
        <v>245</v>
      </c>
      <c r="N43" s="2" t="s">
        <v>220</v>
      </c>
      <c r="O43" s="6" t="s">
        <v>246</v>
      </c>
      <c r="P43" s="2" t="s">
        <v>102</v>
      </c>
    </row>
    <row r="44" spans="1:16">
      <c r="A44" s="2" t="s">
        <v>147</v>
      </c>
      <c r="B44" s="5">
        <v>44834</v>
      </c>
      <c r="C44" s="2" t="s">
        <v>62</v>
      </c>
      <c r="D44" s="2" t="s">
        <v>63</v>
      </c>
      <c r="E44" s="2" t="s">
        <v>94</v>
      </c>
      <c r="F44" s="2" t="s">
        <v>231</v>
      </c>
      <c r="G44" s="3">
        <v>48594</v>
      </c>
      <c r="H44" s="2" t="s">
        <v>139</v>
      </c>
      <c r="I44" s="4"/>
      <c r="J44" s="2" t="s">
        <v>218</v>
      </c>
      <c r="K44" s="2" t="s">
        <v>97</v>
      </c>
      <c r="L44" s="2" t="s">
        <v>219</v>
      </c>
      <c r="M44" s="2" t="s">
        <v>245</v>
      </c>
      <c r="N44" s="2" t="s">
        <v>220</v>
      </c>
      <c r="O44" s="6" t="s">
        <v>246</v>
      </c>
      <c r="P44" s="2" t="s">
        <v>102</v>
      </c>
    </row>
    <row r="45" spans="1:16">
      <c r="A45" s="2" t="s">
        <v>147</v>
      </c>
      <c r="B45" s="5">
        <v>44834</v>
      </c>
      <c r="C45" s="2" t="s">
        <v>62</v>
      </c>
      <c r="D45" s="2" t="s">
        <v>63</v>
      </c>
      <c r="E45" s="2" t="s">
        <v>94</v>
      </c>
      <c r="F45" s="2" t="s">
        <v>232</v>
      </c>
      <c r="G45" s="3">
        <v>139940</v>
      </c>
      <c r="H45" s="2" t="s">
        <v>139</v>
      </c>
      <c r="I45" s="4"/>
      <c r="J45" s="2" t="s">
        <v>218</v>
      </c>
      <c r="K45" s="2" t="s">
        <v>97</v>
      </c>
      <c r="L45" s="2" t="s">
        <v>219</v>
      </c>
      <c r="M45" s="2" t="s">
        <v>245</v>
      </c>
      <c r="N45" s="2" t="s">
        <v>220</v>
      </c>
      <c r="O45" s="6" t="s">
        <v>246</v>
      </c>
      <c r="P45" s="2" t="s">
        <v>102</v>
      </c>
    </row>
    <row r="46" spans="1:16">
      <c r="A46" s="2" t="s">
        <v>147</v>
      </c>
      <c r="B46" s="5">
        <v>44834</v>
      </c>
      <c r="C46" s="2" t="s">
        <v>62</v>
      </c>
      <c r="D46" s="2" t="s">
        <v>63</v>
      </c>
      <c r="E46" s="2" t="s">
        <v>94</v>
      </c>
      <c r="F46" s="2" t="s">
        <v>233</v>
      </c>
      <c r="G46" s="3">
        <v>2201</v>
      </c>
      <c r="H46" s="2" t="s">
        <v>139</v>
      </c>
      <c r="I46" s="4"/>
      <c r="J46" s="2" t="s">
        <v>218</v>
      </c>
      <c r="K46" s="2" t="s">
        <v>97</v>
      </c>
      <c r="L46" s="2" t="s">
        <v>219</v>
      </c>
      <c r="M46" s="2" t="s">
        <v>245</v>
      </c>
      <c r="N46" s="2" t="s">
        <v>220</v>
      </c>
      <c r="O46" s="6" t="s">
        <v>246</v>
      </c>
      <c r="P46" s="2" t="s">
        <v>102</v>
      </c>
    </row>
    <row r="47" spans="1:16">
      <c r="A47" s="2" t="s">
        <v>147</v>
      </c>
      <c r="B47" s="5">
        <v>44834</v>
      </c>
      <c r="C47" s="2" t="s">
        <v>62</v>
      </c>
      <c r="D47" s="2" t="s">
        <v>63</v>
      </c>
      <c r="E47" s="2" t="s">
        <v>141</v>
      </c>
      <c r="F47" s="2" t="s">
        <v>234</v>
      </c>
      <c r="G47" s="3"/>
      <c r="H47" s="2" t="s">
        <v>134</v>
      </c>
      <c r="I47" s="4">
        <f>G39+G40+G41</f>
        <v>2062983</v>
      </c>
      <c r="J47" s="2" t="s">
        <v>235</v>
      </c>
      <c r="K47" s="2" t="s">
        <v>97</v>
      </c>
      <c r="L47" s="2" t="s">
        <v>236</v>
      </c>
      <c r="M47" s="2" t="s">
        <v>245</v>
      </c>
      <c r="N47" s="2" t="s">
        <v>237</v>
      </c>
      <c r="O47" s="6" t="s">
        <v>246</v>
      </c>
      <c r="P47" s="2" t="s">
        <v>102</v>
      </c>
    </row>
    <row r="48" spans="1:16">
      <c r="A48" s="2" t="s">
        <v>147</v>
      </c>
      <c r="B48" s="5">
        <v>44834</v>
      </c>
      <c r="C48" s="2" t="s">
        <v>62</v>
      </c>
      <c r="D48" s="2" t="s">
        <v>63</v>
      </c>
      <c r="E48" s="2" t="s">
        <v>141</v>
      </c>
      <c r="F48" s="2" t="s">
        <v>238</v>
      </c>
      <c r="G48" s="3"/>
      <c r="H48" s="2" t="s">
        <v>137</v>
      </c>
      <c r="I48" s="4">
        <f>G42+G43</f>
        <v>274946</v>
      </c>
      <c r="J48" s="2" t="s">
        <v>239</v>
      </c>
      <c r="K48" s="2" t="s">
        <v>97</v>
      </c>
      <c r="L48" s="2" t="s">
        <v>240</v>
      </c>
      <c r="M48" s="2" t="s">
        <v>245</v>
      </c>
      <c r="N48" s="2" t="s">
        <v>241</v>
      </c>
      <c r="O48" s="6" t="s">
        <v>246</v>
      </c>
      <c r="P48" s="2" t="s">
        <v>102</v>
      </c>
    </row>
    <row r="49" spans="1:16">
      <c r="A49" s="2" t="s">
        <v>147</v>
      </c>
      <c r="B49" s="5">
        <v>44834</v>
      </c>
      <c r="C49" s="2" t="s">
        <v>62</v>
      </c>
      <c r="D49" s="2" t="s">
        <v>63</v>
      </c>
      <c r="E49" s="2" t="s">
        <v>141</v>
      </c>
      <c r="F49" s="2" t="s">
        <v>242</v>
      </c>
      <c r="G49" s="3"/>
      <c r="H49" s="2" t="s">
        <v>143</v>
      </c>
      <c r="I49" s="4">
        <f>G44+G45+G46</f>
        <v>190735</v>
      </c>
      <c r="J49" s="2" t="s">
        <v>243</v>
      </c>
      <c r="K49" s="2" t="s">
        <v>97</v>
      </c>
      <c r="L49" s="2" t="s">
        <v>244</v>
      </c>
      <c r="M49" s="2" t="s">
        <v>245</v>
      </c>
      <c r="N49" s="2" t="s">
        <v>241</v>
      </c>
      <c r="O49" s="6" t="s">
        <v>246</v>
      </c>
      <c r="P49" s="2" t="s">
        <v>102</v>
      </c>
    </row>
    <row r="50" spans="1:16" ht="23">
      <c r="A50" s="2" t="s">
        <v>150</v>
      </c>
      <c r="B50" s="5">
        <v>45199</v>
      </c>
      <c r="C50" s="2" t="s">
        <v>62</v>
      </c>
      <c r="D50" s="2" t="s">
        <v>63</v>
      </c>
      <c r="E50" s="2" t="s">
        <v>94</v>
      </c>
      <c r="F50" s="2" t="s">
        <v>95</v>
      </c>
      <c r="G50" s="3">
        <v>1152880</v>
      </c>
      <c r="H50" s="2" t="s">
        <v>95</v>
      </c>
      <c r="I50" s="4">
        <f>G50</f>
        <v>1152880</v>
      </c>
      <c r="J50" s="2" t="s">
        <v>199</v>
      </c>
      <c r="K50" s="2" t="s">
        <v>97</v>
      </c>
      <c r="L50" s="2" t="s">
        <v>200</v>
      </c>
      <c r="M50" s="2" t="s">
        <v>245</v>
      </c>
      <c r="N50" s="2" t="s">
        <v>202</v>
      </c>
      <c r="O50" s="6" t="s">
        <v>246</v>
      </c>
      <c r="P50" s="2" t="s">
        <v>102</v>
      </c>
    </row>
    <row r="51" spans="1:16" ht="23">
      <c r="A51" s="2" t="s">
        <v>150</v>
      </c>
      <c r="B51" s="5">
        <v>45199</v>
      </c>
      <c r="C51" s="2" t="s">
        <v>62</v>
      </c>
      <c r="D51" s="2" t="s">
        <v>63</v>
      </c>
      <c r="E51" s="2" t="s">
        <v>94</v>
      </c>
      <c r="F51" s="2" t="s">
        <v>204</v>
      </c>
      <c r="G51" s="3">
        <v>1425117</v>
      </c>
      <c r="H51" s="2" t="s">
        <v>205</v>
      </c>
      <c r="I51" s="4"/>
      <c r="J51" s="2" t="s">
        <v>206</v>
      </c>
      <c r="K51" s="2" t="s">
        <v>97</v>
      </c>
      <c r="L51" s="2" t="s">
        <v>207</v>
      </c>
      <c r="M51" s="2" t="s">
        <v>245</v>
      </c>
      <c r="N51" s="2" t="s">
        <v>202</v>
      </c>
      <c r="O51" s="6" t="s">
        <v>246</v>
      </c>
      <c r="P51" s="2" t="s">
        <v>102</v>
      </c>
    </row>
    <row r="52" spans="1:16" ht="23">
      <c r="A52" s="2" t="s">
        <v>150</v>
      </c>
      <c r="B52" s="5">
        <v>45199</v>
      </c>
      <c r="C52" s="2" t="s">
        <v>62</v>
      </c>
      <c r="D52" s="2" t="s">
        <v>63</v>
      </c>
      <c r="E52" s="2" t="s">
        <v>94</v>
      </c>
      <c r="F52" s="2" t="s">
        <v>208</v>
      </c>
      <c r="G52" s="3">
        <v>1143685</v>
      </c>
      <c r="H52" s="2" t="s">
        <v>117</v>
      </c>
      <c r="I52" s="4">
        <f>G52</f>
        <v>1143685</v>
      </c>
      <c r="J52" s="2" t="s">
        <v>209</v>
      </c>
      <c r="K52" s="2" t="s">
        <v>97</v>
      </c>
      <c r="L52" s="2" t="s">
        <v>210</v>
      </c>
      <c r="M52" s="2" t="s">
        <v>245</v>
      </c>
      <c r="N52" s="2" t="s">
        <v>202</v>
      </c>
      <c r="O52" s="6" t="s">
        <v>246</v>
      </c>
      <c r="P52" s="2" t="s">
        <v>102</v>
      </c>
    </row>
    <row r="53" spans="1:16" ht="23">
      <c r="A53" s="2" t="s">
        <v>150</v>
      </c>
      <c r="B53" s="5">
        <v>45199</v>
      </c>
      <c r="C53" s="2" t="s">
        <v>62</v>
      </c>
      <c r="D53" s="2" t="s">
        <v>63</v>
      </c>
      <c r="E53" s="2" t="s">
        <v>94</v>
      </c>
      <c r="F53" s="2" t="s">
        <v>211</v>
      </c>
      <c r="G53" s="3">
        <v>488761</v>
      </c>
      <c r="H53" s="2" t="s">
        <v>122</v>
      </c>
      <c r="I53" s="4">
        <f>G53</f>
        <v>488761</v>
      </c>
      <c r="J53" s="2" t="s">
        <v>212</v>
      </c>
      <c r="K53" s="2" t="s">
        <v>97</v>
      </c>
      <c r="L53" s="2" t="s">
        <v>213</v>
      </c>
      <c r="M53" s="2" t="s">
        <v>245</v>
      </c>
      <c r="N53" s="2" t="s">
        <v>202</v>
      </c>
      <c r="O53" s="6" t="s">
        <v>246</v>
      </c>
      <c r="P53" s="2" t="s">
        <v>102</v>
      </c>
    </row>
    <row r="54" spans="1:16" ht="23">
      <c r="A54" s="2" t="s">
        <v>150</v>
      </c>
      <c r="B54" s="5">
        <v>45199</v>
      </c>
      <c r="C54" s="2" t="s">
        <v>62</v>
      </c>
      <c r="D54" s="2" t="s">
        <v>63</v>
      </c>
      <c r="E54" s="2" t="s">
        <v>94</v>
      </c>
      <c r="F54" s="2" t="s">
        <v>214</v>
      </c>
      <c r="G54" s="3">
        <v>924659</v>
      </c>
      <c r="H54" s="2" t="s">
        <v>215</v>
      </c>
      <c r="I54" s="4"/>
      <c r="J54" s="2" t="s">
        <v>216</v>
      </c>
      <c r="K54" s="2" t="s">
        <v>97</v>
      </c>
      <c r="L54" s="2" t="s">
        <v>217</v>
      </c>
      <c r="M54" s="2" t="s">
        <v>245</v>
      </c>
      <c r="N54" s="2" t="s">
        <v>202</v>
      </c>
      <c r="O54" s="6" t="s">
        <v>246</v>
      </c>
      <c r="P54" s="2" t="s">
        <v>102</v>
      </c>
    </row>
    <row r="55" spans="1:16">
      <c r="A55" s="2" t="s">
        <v>150</v>
      </c>
      <c r="B55" s="5">
        <v>45199</v>
      </c>
      <c r="C55" s="2" t="s">
        <v>62</v>
      </c>
      <c r="D55" s="2" t="s">
        <v>63</v>
      </c>
      <c r="E55" s="2" t="s">
        <v>94</v>
      </c>
      <c r="F55" s="2" t="s">
        <v>127</v>
      </c>
      <c r="G55" s="3">
        <v>14296360</v>
      </c>
      <c r="H55" s="2" t="s">
        <v>127</v>
      </c>
      <c r="I55" s="4">
        <f>G55</f>
        <v>14296360</v>
      </c>
      <c r="J55" s="2" t="s">
        <v>218</v>
      </c>
      <c r="K55" s="2" t="s">
        <v>97</v>
      </c>
      <c r="L55" s="2" t="s">
        <v>219</v>
      </c>
      <c r="M55" s="2" t="s">
        <v>245</v>
      </c>
      <c r="N55" s="2" t="s">
        <v>220</v>
      </c>
      <c r="O55" s="6" t="s">
        <v>246</v>
      </c>
      <c r="P55" s="2" t="s">
        <v>102</v>
      </c>
    </row>
    <row r="56" spans="1:16" ht="23">
      <c r="A56" s="2" t="s">
        <v>150</v>
      </c>
      <c r="B56" s="5">
        <v>45199</v>
      </c>
      <c r="C56" s="2" t="s">
        <v>62</v>
      </c>
      <c r="D56" s="2" t="s">
        <v>63</v>
      </c>
      <c r="E56" s="2" t="s">
        <v>94</v>
      </c>
      <c r="F56" s="2" t="s">
        <v>221</v>
      </c>
      <c r="G56" s="3">
        <v>11982421</v>
      </c>
      <c r="H56" s="2" t="s">
        <v>222</v>
      </c>
      <c r="I56" s="4"/>
      <c r="J56" s="2" t="s">
        <v>218</v>
      </c>
      <c r="K56" s="2" t="s">
        <v>97</v>
      </c>
      <c r="L56" s="2" t="s">
        <v>219</v>
      </c>
      <c r="M56" s="2" t="s">
        <v>245</v>
      </c>
      <c r="N56" s="2" t="s">
        <v>220</v>
      </c>
      <c r="O56" s="6" t="s">
        <v>246</v>
      </c>
      <c r="P56" s="2" t="s">
        <v>102</v>
      </c>
    </row>
    <row r="57" spans="1:16">
      <c r="A57" s="2" t="s">
        <v>150</v>
      </c>
      <c r="B57" s="5">
        <v>45199</v>
      </c>
      <c r="C57" s="2" t="s">
        <v>62</v>
      </c>
      <c r="D57" s="2" t="s">
        <v>63</v>
      </c>
      <c r="E57" s="2" t="s">
        <v>94</v>
      </c>
      <c r="F57" s="2" t="s">
        <v>223</v>
      </c>
      <c r="G57" s="3">
        <v>1631249</v>
      </c>
      <c r="H57" s="2" t="s">
        <v>135</v>
      </c>
      <c r="I57" s="4">
        <f>G57</f>
        <v>1631249</v>
      </c>
      <c r="J57" s="2" t="s">
        <v>218</v>
      </c>
      <c r="K57" s="2" t="s">
        <v>97</v>
      </c>
      <c r="L57" s="2" t="s">
        <v>219</v>
      </c>
      <c r="M57" s="2" t="s">
        <v>245</v>
      </c>
      <c r="N57" s="2" t="s">
        <v>220</v>
      </c>
      <c r="O57" s="6" t="s">
        <v>246</v>
      </c>
      <c r="P57" s="2" t="s">
        <v>102</v>
      </c>
    </row>
    <row r="58" spans="1:16">
      <c r="A58" s="2" t="s">
        <v>150</v>
      </c>
      <c r="B58" s="5">
        <v>45199</v>
      </c>
      <c r="C58" s="2" t="s">
        <v>62</v>
      </c>
      <c r="D58" s="2" t="s">
        <v>63</v>
      </c>
      <c r="E58" s="2" t="s">
        <v>94</v>
      </c>
      <c r="F58" s="2" t="s">
        <v>136</v>
      </c>
      <c r="G58" s="3">
        <v>2112249</v>
      </c>
      <c r="H58" s="2" t="s">
        <v>136</v>
      </c>
      <c r="I58" s="4">
        <f>G58</f>
        <v>2112249</v>
      </c>
      <c r="J58" s="2" t="s">
        <v>218</v>
      </c>
      <c r="K58" s="2" t="s">
        <v>97</v>
      </c>
      <c r="L58" s="2" t="s">
        <v>219</v>
      </c>
      <c r="M58" s="2" t="s">
        <v>245</v>
      </c>
      <c r="N58" s="2" t="s">
        <v>220</v>
      </c>
      <c r="O58" s="6" t="s">
        <v>246</v>
      </c>
      <c r="P58" s="2" t="s">
        <v>102</v>
      </c>
    </row>
    <row r="59" spans="1:16">
      <c r="A59" s="2" t="s">
        <v>150</v>
      </c>
      <c r="B59" s="5">
        <v>45199</v>
      </c>
      <c r="C59" s="2" t="s">
        <v>62</v>
      </c>
      <c r="D59" s="2" t="s">
        <v>63</v>
      </c>
      <c r="E59" s="2" t="s">
        <v>94</v>
      </c>
      <c r="F59" s="2" t="s">
        <v>224</v>
      </c>
      <c r="G59" s="3">
        <v>2197913</v>
      </c>
      <c r="H59" s="2" t="s">
        <v>225</v>
      </c>
      <c r="I59" s="4"/>
      <c r="J59" s="2" t="s">
        <v>218</v>
      </c>
      <c r="K59" s="2" t="s">
        <v>97</v>
      </c>
      <c r="L59" s="2" t="s">
        <v>219</v>
      </c>
      <c r="M59" s="2" t="s">
        <v>245</v>
      </c>
      <c r="N59" s="2" t="s">
        <v>220</v>
      </c>
      <c r="O59" s="6" t="s">
        <v>246</v>
      </c>
      <c r="P59" s="2" t="s">
        <v>102</v>
      </c>
    </row>
    <row r="60" spans="1:16">
      <c r="A60" s="2" t="s">
        <v>150</v>
      </c>
      <c r="B60" s="5">
        <v>45199</v>
      </c>
      <c r="C60" s="2" t="s">
        <v>62</v>
      </c>
      <c r="D60" s="2" t="s">
        <v>63</v>
      </c>
      <c r="E60" s="2" t="s">
        <v>94</v>
      </c>
      <c r="F60" s="2" t="s">
        <v>226</v>
      </c>
      <c r="G60" s="3">
        <v>52463</v>
      </c>
      <c r="H60" s="2" t="s">
        <v>225</v>
      </c>
      <c r="I60" s="4"/>
      <c r="J60" s="2" t="s">
        <v>218</v>
      </c>
      <c r="K60" s="2" t="s">
        <v>97</v>
      </c>
      <c r="L60" s="2" t="s">
        <v>219</v>
      </c>
      <c r="M60" s="2" t="s">
        <v>245</v>
      </c>
      <c r="N60" s="2" t="s">
        <v>220</v>
      </c>
      <c r="O60" s="6" t="s">
        <v>246</v>
      </c>
      <c r="P60" s="2" t="s">
        <v>102</v>
      </c>
    </row>
    <row r="61" spans="1:16">
      <c r="A61" s="2" t="s">
        <v>150</v>
      </c>
      <c r="B61" s="5">
        <v>45199</v>
      </c>
      <c r="C61" s="2" t="s">
        <v>62</v>
      </c>
      <c r="D61" s="2" t="s">
        <v>63</v>
      </c>
      <c r="E61" s="2" t="s">
        <v>94</v>
      </c>
      <c r="F61" s="2" t="s">
        <v>227</v>
      </c>
      <c r="G61" s="3">
        <v>1198</v>
      </c>
      <c r="H61" s="2" t="s">
        <v>225</v>
      </c>
      <c r="I61" s="4"/>
      <c r="J61" s="2" t="s">
        <v>218</v>
      </c>
      <c r="K61" s="2" t="s">
        <v>97</v>
      </c>
      <c r="L61" s="2" t="s">
        <v>219</v>
      </c>
      <c r="M61" s="2" t="s">
        <v>245</v>
      </c>
      <c r="N61" s="2" t="s">
        <v>220</v>
      </c>
      <c r="O61" s="6" t="s">
        <v>246</v>
      </c>
      <c r="P61" s="2" t="s">
        <v>102</v>
      </c>
    </row>
    <row r="62" spans="1:16">
      <c r="A62" s="2" t="s">
        <v>150</v>
      </c>
      <c r="B62" s="5">
        <v>45199</v>
      </c>
      <c r="C62" s="2" t="s">
        <v>62</v>
      </c>
      <c r="D62" s="2" t="s">
        <v>63</v>
      </c>
      <c r="E62" s="2" t="s">
        <v>94</v>
      </c>
      <c r="F62" s="2" t="s">
        <v>228</v>
      </c>
      <c r="G62" s="3">
        <v>142653</v>
      </c>
      <c r="H62" s="2" t="s">
        <v>229</v>
      </c>
      <c r="I62" s="4"/>
      <c r="J62" s="2" t="s">
        <v>218</v>
      </c>
      <c r="K62" s="2" t="s">
        <v>97</v>
      </c>
      <c r="L62" s="2" t="s">
        <v>219</v>
      </c>
      <c r="M62" s="2" t="s">
        <v>245</v>
      </c>
      <c r="N62" s="2" t="s">
        <v>220</v>
      </c>
      <c r="O62" s="6" t="s">
        <v>246</v>
      </c>
      <c r="P62" s="2" t="s">
        <v>102</v>
      </c>
    </row>
    <row r="63" spans="1:16">
      <c r="A63" s="2" t="s">
        <v>150</v>
      </c>
      <c r="B63" s="5">
        <v>45199</v>
      </c>
      <c r="C63" s="2" t="s">
        <v>62</v>
      </c>
      <c r="D63" s="2" t="s">
        <v>63</v>
      </c>
      <c r="E63" s="2" t="s">
        <v>94</v>
      </c>
      <c r="F63" s="2" t="s">
        <v>230</v>
      </c>
      <c r="G63" s="3">
        <v>143030</v>
      </c>
      <c r="H63" s="2" t="s">
        <v>229</v>
      </c>
      <c r="I63" s="4"/>
      <c r="J63" s="2" t="s">
        <v>218</v>
      </c>
      <c r="K63" s="2" t="s">
        <v>97</v>
      </c>
      <c r="L63" s="2" t="s">
        <v>219</v>
      </c>
      <c r="M63" s="2" t="s">
        <v>245</v>
      </c>
      <c r="N63" s="2" t="s">
        <v>220</v>
      </c>
      <c r="O63" s="6" t="s">
        <v>246</v>
      </c>
      <c r="P63" s="2" t="s">
        <v>102</v>
      </c>
    </row>
    <row r="64" spans="1:16">
      <c r="A64" s="2" t="s">
        <v>150</v>
      </c>
      <c r="B64" s="5">
        <v>45199</v>
      </c>
      <c r="C64" s="2" t="s">
        <v>62</v>
      </c>
      <c r="D64" s="2" t="s">
        <v>63</v>
      </c>
      <c r="E64" s="2" t="s">
        <v>94</v>
      </c>
      <c r="F64" s="2" t="s">
        <v>231</v>
      </c>
      <c r="G64" s="3">
        <v>55194</v>
      </c>
      <c r="H64" s="2" t="s">
        <v>139</v>
      </c>
      <c r="I64" s="4"/>
      <c r="J64" s="2" t="s">
        <v>218</v>
      </c>
      <c r="K64" s="2" t="s">
        <v>97</v>
      </c>
      <c r="L64" s="2" t="s">
        <v>219</v>
      </c>
      <c r="M64" s="2" t="s">
        <v>245</v>
      </c>
      <c r="N64" s="2" t="s">
        <v>220</v>
      </c>
      <c r="O64" s="6" t="s">
        <v>246</v>
      </c>
      <c r="P64" s="2" t="s">
        <v>102</v>
      </c>
    </row>
    <row r="65" spans="1:16">
      <c r="A65" s="2" t="s">
        <v>150</v>
      </c>
      <c r="B65" s="5">
        <v>45199</v>
      </c>
      <c r="C65" s="2" t="s">
        <v>62</v>
      </c>
      <c r="D65" s="2" t="s">
        <v>63</v>
      </c>
      <c r="E65" s="2" t="s">
        <v>94</v>
      </c>
      <c r="F65" s="2" t="s">
        <v>232</v>
      </c>
      <c r="G65" s="3">
        <v>162971</v>
      </c>
      <c r="H65" s="2" t="s">
        <v>139</v>
      </c>
      <c r="I65" s="4"/>
      <c r="J65" s="2" t="s">
        <v>218</v>
      </c>
      <c r="K65" s="2" t="s">
        <v>97</v>
      </c>
      <c r="L65" s="2" t="s">
        <v>219</v>
      </c>
      <c r="M65" s="2" t="s">
        <v>245</v>
      </c>
      <c r="N65" s="2" t="s">
        <v>220</v>
      </c>
      <c r="O65" s="6" t="s">
        <v>246</v>
      </c>
      <c r="P65" s="2" t="s">
        <v>102</v>
      </c>
    </row>
    <row r="66" spans="1:16">
      <c r="A66" s="2" t="s">
        <v>150</v>
      </c>
      <c r="B66" s="5">
        <v>45199</v>
      </c>
      <c r="C66" s="2" t="s">
        <v>62</v>
      </c>
      <c r="D66" s="2" t="s">
        <v>63</v>
      </c>
      <c r="E66" s="2" t="s">
        <v>94</v>
      </c>
      <c r="F66" s="2" t="s">
        <v>233</v>
      </c>
      <c r="G66" s="3">
        <v>2793</v>
      </c>
      <c r="H66" s="2" t="s">
        <v>139</v>
      </c>
      <c r="I66" s="4"/>
      <c r="J66" s="2" t="s">
        <v>218</v>
      </c>
      <c r="K66" s="2" t="s">
        <v>97</v>
      </c>
      <c r="L66" s="2" t="s">
        <v>219</v>
      </c>
      <c r="M66" s="2" t="s">
        <v>245</v>
      </c>
      <c r="N66" s="2" t="s">
        <v>220</v>
      </c>
      <c r="O66" s="6" t="s">
        <v>246</v>
      </c>
      <c r="P66" s="2" t="s">
        <v>102</v>
      </c>
    </row>
    <row r="67" spans="1:16">
      <c r="A67" s="2" t="s">
        <v>150</v>
      </c>
      <c r="B67" s="5">
        <v>45199</v>
      </c>
      <c r="C67" s="2" t="s">
        <v>62</v>
      </c>
      <c r="D67" s="2" t="s">
        <v>63</v>
      </c>
      <c r="E67" s="2" t="s">
        <v>141</v>
      </c>
      <c r="F67" s="2" t="s">
        <v>234</v>
      </c>
      <c r="G67" s="3"/>
      <c r="H67" s="2" t="s">
        <v>134</v>
      </c>
      <c r="I67" s="4">
        <f>G59+G60+G61</f>
        <v>2251574</v>
      </c>
      <c r="J67" s="2" t="s">
        <v>235</v>
      </c>
      <c r="K67" s="2" t="s">
        <v>97</v>
      </c>
      <c r="L67" s="2" t="s">
        <v>236</v>
      </c>
      <c r="M67" s="2" t="s">
        <v>245</v>
      </c>
      <c r="N67" s="2" t="s">
        <v>237</v>
      </c>
      <c r="O67" s="6" t="s">
        <v>246</v>
      </c>
      <c r="P67" s="2" t="s">
        <v>102</v>
      </c>
    </row>
    <row r="68" spans="1:16">
      <c r="A68" s="2" t="s">
        <v>150</v>
      </c>
      <c r="B68" s="5">
        <v>45199</v>
      </c>
      <c r="C68" s="2" t="s">
        <v>62</v>
      </c>
      <c r="D68" s="2" t="s">
        <v>63</v>
      </c>
      <c r="E68" s="2" t="s">
        <v>141</v>
      </c>
      <c r="F68" s="2" t="s">
        <v>238</v>
      </c>
      <c r="G68" s="3"/>
      <c r="H68" s="2" t="s">
        <v>137</v>
      </c>
      <c r="I68" s="4">
        <f>G62+G63</f>
        <v>285683</v>
      </c>
      <c r="J68" s="2" t="s">
        <v>239</v>
      </c>
      <c r="K68" s="2" t="s">
        <v>97</v>
      </c>
      <c r="L68" s="2" t="s">
        <v>240</v>
      </c>
      <c r="M68" s="2" t="s">
        <v>245</v>
      </c>
      <c r="N68" s="2" t="s">
        <v>241</v>
      </c>
      <c r="O68" s="6" t="s">
        <v>246</v>
      </c>
      <c r="P68" s="2" t="s">
        <v>102</v>
      </c>
    </row>
    <row r="69" spans="1:16">
      <c r="A69" s="2" t="s">
        <v>150</v>
      </c>
      <c r="B69" s="5">
        <v>45199</v>
      </c>
      <c r="C69" s="2" t="s">
        <v>62</v>
      </c>
      <c r="D69" s="2" t="s">
        <v>63</v>
      </c>
      <c r="E69" s="2" t="s">
        <v>141</v>
      </c>
      <c r="F69" s="2" t="s">
        <v>242</v>
      </c>
      <c r="G69" s="3"/>
      <c r="H69" s="2" t="s">
        <v>143</v>
      </c>
      <c r="I69" s="4">
        <f>G64+G65+G66</f>
        <v>220958</v>
      </c>
      <c r="J69" s="2" t="s">
        <v>243</v>
      </c>
      <c r="K69" s="2" t="s">
        <v>97</v>
      </c>
      <c r="L69" s="2" t="s">
        <v>244</v>
      </c>
      <c r="M69" s="2" t="s">
        <v>245</v>
      </c>
      <c r="N69" s="2" t="s">
        <v>241</v>
      </c>
      <c r="O69" s="6" t="s">
        <v>246</v>
      </c>
      <c r="P69" s="2" t="s">
        <v>102</v>
      </c>
    </row>
    <row r="70" spans="1:16" ht="23">
      <c r="A70" s="2" t="s">
        <v>153</v>
      </c>
      <c r="B70" s="5">
        <v>45565</v>
      </c>
      <c r="C70" s="2" t="s">
        <v>62</v>
      </c>
      <c r="D70" s="2" t="s">
        <v>63</v>
      </c>
      <c r="E70" s="2" t="s">
        <v>94</v>
      </c>
      <c r="F70" s="2" t="s">
        <v>95</v>
      </c>
      <c r="G70" s="3">
        <v>1117712</v>
      </c>
      <c r="H70" s="2" t="s">
        <v>95</v>
      </c>
      <c r="I70" s="4">
        <f>G70</f>
        <v>1117712</v>
      </c>
      <c r="J70" s="2" t="s">
        <v>199</v>
      </c>
      <c r="K70" s="2" t="s">
        <v>97</v>
      </c>
      <c r="L70" s="2" t="s">
        <v>200</v>
      </c>
      <c r="M70" s="2" t="s">
        <v>247</v>
      </c>
      <c r="N70" s="2" t="s">
        <v>202</v>
      </c>
      <c r="O70" s="6" t="s">
        <v>248</v>
      </c>
      <c r="P70" s="2" t="s">
        <v>102</v>
      </c>
    </row>
    <row r="71" spans="1:16" ht="23">
      <c r="A71" s="2" t="s">
        <v>153</v>
      </c>
      <c r="B71" s="5">
        <v>45565</v>
      </c>
      <c r="C71" s="2" t="s">
        <v>62</v>
      </c>
      <c r="D71" s="2" t="s">
        <v>63</v>
      </c>
      <c r="E71" s="2" t="s">
        <v>94</v>
      </c>
      <c r="F71" s="2" t="s">
        <v>204</v>
      </c>
      <c r="G71" s="3">
        <v>1398402</v>
      </c>
      <c r="H71" s="2" t="s">
        <v>205</v>
      </c>
      <c r="I71" s="4"/>
      <c r="J71" s="2" t="s">
        <v>206</v>
      </c>
      <c r="K71" s="2" t="s">
        <v>97</v>
      </c>
      <c r="L71" s="2" t="s">
        <v>207</v>
      </c>
      <c r="M71" s="2" t="s">
        <v>247</v>
      </c>
      <c r="N71" s="2" t="s">
        <v>202</v>
      </c>
      <c r="O71" s="6" t="s">
        <v>248</v>
      </c>
      <c r="P71" s="2" t="s">
        <v>102</v>
      </c>
    </row>
    <row r="72" spans="1:16" ht="23">
      <c r="A72" s="2" t="s">
        <v>153</v>
      </c>
      <c r="B72" s="5">
        <v>45565</v>
      </c>
      <c r="C72" s="2" t="s">
        <v>62</v>
      </c>
      <c r="D72" s="2" t="s">
        <v>63</v>
      </c>
      <c r="E72" s="2" t="s">
        <v>94</v>
      </c>
      <c r="F72" s="2" t="s">
        <v>208</v>
      </c>
      <c r="G72" s="3">
        <v>1208095</v>
      </c>
      <c r="H72" s="2" t="s">
        <v>117</v>
      </c>
      <c r="I72" s="4">
        <f>G72</f>
        <v>1208095</v>
      </c>
      <c r="J72" s="2" t="s">
        <v>209</v>
      </c>
      <c r="K72" s="2" t="s">
        <v>97</v>
      </c>
      <c r="L72" s="2" t="s">
        <v>210</v>
      </c>
      <c r="M72" s="2" t="s">
        <v>247</v>
      </c>
      <c r="N72" s="2" t="s">
        <v>202</v>
      </c>
      <c r="O72" s="6" t="s">
        <v>248</v>
      </c>
      <c r="P72" s="2" t="s">
        <v>102</v>
      </c>
    </row>
    <row r="73" spans="1:16" ht="23">
      <c r="A73" s="2" t="s">
        <v>153</v>
      </c>
      <c r="B73" s="5">
        <v>45565</v>
      </c>
      <c r="C73" s="2" t="s">
        <v>62</v>
      </c>
      <c r="D73" s="2" t="s">
        <v>63</v>
      </c>
      <c r="E73" s="2" t="s">
        <v>94</v>
      </c>
      <c r="F73" s="2" t="s">
        <v>211</v>
      </c>
      <c r="G73" s="3">
        <v>536788</v>
      </c>
      <c r="H73" s="2" t="s">
        <v>122</v>
      </c>
      <c r="I73" s="4">
        <f>G73</f>
        <v>536788</v>
      </c>
      <c r="J73" s="2" t="s">
        <v>212</v>
      </c>
      <c r="K73" s="2" t="s">
        <v>97</v>
      </c>
      <c r="L73" s="2" t="s">
        <v>213</v>
      </c>
      <c r="M73" s="2" t="s">
        <v>247</v>
      </c>
      <c r="N73" s="2" t="s">
        <v>202</v>
      </c>
      <c r="O73" s="6" t="s">
        <v>248</v>
      </c>
      <c r="P73" s="2" t="s">
        <v>102</v>
      </c>
    </row>
    <row r="74" spans="1:16" ht="23">
      <c r="A74" s="2" t="s">
        <v>153</v>
      </c>
      <c r="B74" s="5">
        <v>45565</v>
      </c>
      <c r="C74" s="2" t="s">
        <v>62</v>
      </c>
      <c r="D74" s="2" t="s">
        <v>63</v>
      </c>
      <c r="E74" s="2" t="s">
        <v>94</v>
      </c>
      <c r="F74" s="2" t="s">
        <v>214</v>
      </c>
      <c r="G74" s="3">
        <v>999790</v>
      </c>
      <c r="H74" s="2" t="s">
        <v>215</v>
      </c>
      <c r="I74" s="4"/>
      <c r="J74" s="2" t="s">
        <v>216</v>
      </c>
      <c r="K74" s="2" t="s">
        <v>97</v>
      </c>
      <c r="L74" s="2" t="s">
        <v>217</v>
      </c>
      <c r="M74" s="2" t="s">
        <v>247</v>
      </c>
      <c r="N74" s="2" t="s">
        <v>202</v>
      </c>
      <c r="O74" s="6" t="s">
        <v>248</v>
      </c>
      <c r="P74" s="2" t="s">
        <v>102</v>
      </c>
    </row>
    <row r="75" spans="1:16">
      <c r="A75" s="2" t="s">
        <v>153</v>
      </c>
      <c r="B75" s="5">
        <v>45565</v>
      </c>
      <c r="C75" s="2" t="s">
        <v>62</v>
      </c>
      <c r="D75" s="2" t="s">
        <v>63</v>
      </c>
      <c r="E75" s="2" t="s">
        <v>94</v>
      </c>
      <c r="F75" s="2" t="s">
        <v>127</v>
      </c>
      <c r="G75" s="3">
        <v>14676152</v>
      </c>
      <c r="H75" s="2" t="s">
        <v>127</v>
      </c>
      <c r="I75" s="4">
        <f>G75</f>
        <v>14676152</v>
      </c>
      <c r="J75" s="2" t="s">
        <v>218</v>
      </c>
      <c r="K75" s="2" t="s">
        <v>97</v>
      </c>
      <c r="L75" s="2" t="s">
        <v>219</v>
      </c>
      <c r="M75" s="2" t="s">
        <v>247</v>
      </c>
      <c r="N75" s="2" t="s">
        <v>220</v>
      </c>
      <c r="O75" s="6" t="s">
        <v>248</v>
      </c>
      <c r="P75" s="2" t="s">
        <v>102</v>
      </c>
    </row>
    <row r="76" spans="1:16" ht="23">
      <c r="A76" s="2" t="s">
        <v>153</v>
      </c>
      <c r="B76" s="5">
        <v>45565</v>
      </c>
      <c r="C76" s="2" t="s">
        <v>62</v>
      </c>
      <c r="D76" s="2" t="s">
        <v>63</v>
      </c>
      <c r="E76" s="2" t="s">
        <v>94</v>
      </c>
      <c r="F76" s="2" t="s">
        <v>221</v>
      </c>
      <c r="G76" s="3">
        <v>12259730</v>
      </c>
      <c r="H76" s="2" t="s">
        <v>222</v>
      </c>
      <c r="I76" s="4"/>
      <c r="J76" s="2" t="s">
        <v>218</v>
      </c>
      <c r="K76" s="2" t="s">
        <v>97</v>
      </c>
      <c r="L76" s="2" t="s">
        <v>219</v>
      </c>
      <c r="M76" s="2" t="s">
        <v>247</v>
      </c>
      <c r="N76" s="2" t="s">
        <v>220</v>
      </c>
      <c r="O76" s="6" t="s">
        <v>248</v>
      </c>
      <c r="P76" s="2" t="s">
        <v>102</v>
      </c>
    </row>
    <row r="77" spans="1:16">
      <c r="A77" s="2" t="s">
        <v>153</v>
      </c>
      <c r="B77" s="5">
        <v>45565</v>
      </c>
      <c r="C77" s="2" t="s">
        <v>62</v>
      </c>
      <c r="D77" s="2" t="s">
        <v>63</v>
      </c>
      <c r="E77" s="2" t="s">
        <v>94</v>
      </c>
      <c r="F77" s="2" t="s">
        <v>223</v>
      </c>
      <c r="G77" s="3">
        <v>1692715</v>
      </c>
      <c r="H77" s="2" t="s">
        <v>135</v>
      </c>
      <c r="I77" s="4">
        <f>G77</f>
        <v>1692715</v>
      </c>
      <c r="J77" s="2" t="s">
        <v>218</v>
      </c>
      <c r="K77" s="2" t="s">
        <v>97</v>
      </c>
      <c r="L77" s="2" t="s">
        <v>219</v>
      </c>
      <c r="M77" s="2" t="s">
        <v>247</v>
      </c>
      <c r="N77" s="2" t="s">
        <v>220</v>
      </c>
      <c r="O77" s="6" t="s">
        <v>248</v>
      </c>
      <c r="P77" s="2" t="s">
        <v>102</v>
      </c>
    </row>
    <row r="78" spans="1:16">
      <c r="A78" s="2" t="s">
        <v>153</v>
      </c>
      <c r="B78" s="5">
        <v>45565</v>
      </c>
      <c r="C78" s="2" t="s">
        <v>62</v>
      </c>
      <c r="D78" s="2" t="s">
        <v>63</v>
      </c>
      <c r="E78" s="2" t="s">
        <v>94</v>
      </c>
      <c r="F78" s="2" t="s">
        <v>136</v>
      </c>
      <c r="G78" s="3">
        <v>2204983</v>
      </c>
      <c r="H78" s="2" t="s">
        <v>136</v>
      </c>
      <c r="I78" s="4">
        <f>G78</f>
        <v>2204983</v>
      </c>
      <c r="J78" s="2" t="s">
        <v>218</v>
      </c>
      <c r="K78" s="2" t="s">
        <v>97</v>
      </c>
      <c r="L78" s="2" t="s">
        <v>219</v>
      </c>
      <c r="M78" s="2" t="s">
        <v>247</v>
      </c>
      <c r="N78" s="2" t="s">
        <v>220</v>
      </c>
      <c r="O78" s="6" t="s">
        <v>248</v>
      </c>
      <c r="P78" s="2" t="s">
        <v>102</v>
      </c>
    </row>
    <row r="79" spans="1:16">
      <c r="A79" s="2" t="s">
        <v>153</v>
      </c>
      <c r="B79" s="5">
        <v>45565</v>
      </c>
      <c r="C79" s="2" t="s">
        <v>62</v>
      </c>
      <c r="D79" s="2" t="s">
        <v>63</v>
      </c>
      <c r="E79" s="2" t="s">
        <v>94</v>
      </c>
      <c r="F79" s="2" t="s">
        <v>224</v>
      </c>
      <c r="G79" s="3">
        <v>2290951</v>
      </c>
      <c r="H79" s="2" t="s">
        <v>225</v>
      </c>
      <c r="I79" s="4"/>
      <c r="J79" s="2" t="s">
        <v>218</v>
      </c>
      <c r="K79" s="2" t="s">
        <v>97</v>
      </c>
      <c r="L79" s="2" t="s">
        <v>219</v>
      </c>
      <c r="M79" s="2" t="s">
        <v>247</v>
      </c>
      <c r="N79" s="2" t="s">
        <v>220</v>
      </c>
      <c r="O79" s="6" t="s">
        <v>248</v>
      </c>
      <c r="P79" s="2" t="s">
        <v>102</v>
      </c>
    </row>
    <row r="80" spans="1:16">
      <c r="A80" s="2" t="s">
        <v>153</v>
      </c>
      <c r="B80" s="5">
        <v>45565</v>
      </c>
      <c r="C80" s="2" t="s">
        <v>62</v>
      </c>
      <c r="D80" s="2" t="s">
        <v>63</v>
      </c>
      <c r="E80" s="2" t="s">
        <v>94</v>
      </c>
      <c r="F80" s="2" t="s">
        <v>226</v>
      </c>
      <c r="G80" s="3">
        <v>27889</v>
      </c>
      <c r="H80" s="2" t="s">
        <v>225</v>
      </c>
      <c r="I80" s="4"/>
      <c r="J80" s="2" t="s">
        <v>218</v>
      </c>
      <c r="K80" s="2" t="s">
        <v>97</v>
      </c>
      <c r="L80" s="2" t="s">
        <v>219</v>
      </c>
      <c r="M80" s="2" t="s">
        <v>247</v>
      </c>
      <c r="N80" s="2" t="s">
        <v>220</v>
      </c>
      <c r="O80" s="6" t="s">
        <v>248</v>
      </c>
      <c r="P80" s="2" t="s">
        <v>102</v>
      </c>
    </row>
    <row r="81" spans="1:16">
      <c r="A81" s="2" t="s">
        <v>153</v>
      </c>
      <c r="B81" s="5">
        <v>45565</v>
      </c>
      <c r="C81" s="2" t="s">
        <v>62</v>
      </c>
      <c r="D81" s="2" t="s">
        <v>63</v>
      </c>
      <c r="E81" s="2" t="s">
        <v>94</v>
      </c>
      <c r="F81" s="2" t="s">
        <v>227</v>
      </c>
      <c r="G81" s="3">
        <v>653</v>
      </c>
      <c r="H81" s="2" t="s">
        <v>225</v>
      </c>
      <c r="I81" s="4"/>
      <c r="J81" s="2" t="s">
        <v>218</v>
      </c>
      <c r="K81" s="2" t="s">
        <v>97</v>
      </c>
      <c r="L81" s="2" t="s">
        <v>219</v>
      </c>
      <c r="M81" s="2" t="s">
        <v>247</v>
      </c>
      <c r="N81" s="2" t="s">
        <v>220</v>
      </c>
      <c r="O81" s="6" t="s">
        <v>248</v>
      </c>
      <c r="P81" s="2" t="s">
        <v>102</v>
      </c>
    </row>
    <row r="82" spans="1:16">
      <c r="A82" s="2" t="s">
        <v>153</v>
      </c>
      <c r="B82" s="5">
        <v>45565</v>
      </c>
      <c r="C82" s="2" t="s">
        <v>62</v>
      </c>
      <c r="D82" s="2" t="s">
        <v>63</v>
      </c>
      <c r="E82" s="2" t="s">
        <v>94</v>
      </c>
      <c r="F82" s="2" t="s">
        <v>228</v>
      </c>
      <c r="G82" s="3">
        <v>134818</v>
      </c>
      <c r="H82" s="2" t="s">
        <v>229</v>
      </c>
      <c r="I82" s="4"/>
      <c r="J82" s="2" t="s">
        <v>218</v>
      </c>
      <c r="K82" s="2" t="s">
        <v>97</v>
      </c>
      <c r="L82" s="2" t="s">
        <v>219</v>
      </c>
      <c r="M82" s="2" t="s">
        <v>247</v>
      </c>
      <c r="N82" s="2" t="s">
        <v>220</v>
      </c>
      <c r="O82" s="6" t="s">
        <v>248</v>
      </c>
      <c r="P82" s="2" t="s">
        <v>102</v>
      </c>
    </row>
    <row r="83" spans="1:16">
      <c r="A83" s="2" t="s">
        <v>153</v>
      </c>
      <c r="B83" s="5">
        <v>45565</v>
      </c>
      <c r="C83" s="2" t="s">
        <v>62</v>
      </c>
      <c r="D83" s="2" t="s">
        <v>63</v>
      </c>
      <c r="E83" s="2" t="s">
        <v>94</v>
      </c>
      <c r="F83" s="2" t="s">
        <v>230</v>
      </c>
      <c r="G83" s="3">
        <v>126615</v>
      </c>
      <c r="H83" s="2" t="s">
        <v>229</v>
      </c>
      <c r="I83" s="4"/>
      <c r="J83" s="2" t="s">
        <v>218</v>
      </c>
      <c r="K83" s="2" t="s">
        <v>97</v>
      </c>
      <c r="L83" s="2" t="s">
        <v>219</v>
      </c>
      <c r="M83" s="2" t="s">
        <v>247</v>
      </c>
      <c r="N83" s="2" t="s">
        <v>220</v>
      </c>
      <c r="O83" s="6" t="s">
        <v>248</v>
      </c>
      <c r="P83" s="2" t="s">
        <v>102</v>
      </c>
    </row>
    <row r="84" spans="1:16">
      <c r="A84" s="2" t="s">
        <v>153</v>
      </c>
      <c r="B84" s="5">
        <v>45565</v>
      </c>
      <c r="C84" s="2" t="s">
        <v>62</v>
      </c>
      <c r="D84" s="2" t="s">
        <v>63</v>
      </c>
      <c r="E84" s="2" t="s">
        <v>94</v>
      </c>
      <c r="F84" s="2" t="s">
        <v>231</v>
      </c>
      <c r="G84" s="3">
        <v>59191</v>
      </c>
      <c r="H84" s="2" t="s">
        <v>139</v>
      </c>
      <c r="I84" s="4"/>
      <c r="J84" s="2" t="s">
        <v>218</v>
      </c>
      <c r="K84" s="2" t="s">
        <v>97</v>
      </c>
      <c r="L84" s="2" t="s">
        <v>219</v>
      </c>
      <c r="M84" s="2" t="s">
        <v>247</v>
      </c>
      <c r="N84" s="2" t="s">
        <v>220</v>
      </c>
      <c r="O84" s="6" t="s">
        <v>248</v>
      </c>
      <c r="P84" s="2" t="s">
        <v>102</v>
      </c>
    </row>
    <row r="85" spans="1:16">
      <c r="A85" s="2" t="s">
        <v>153</v>
      </c>
      <c r="B85" s="5">
        <v>45565</v>
      </c>
      <c r="C85" s="2" t="s">
        <v>62</v>
      </c>
      <c r="D85" s="2" t="s">
        <v>63</v>
      </c>
      <c r="E85" s="2" t="s">
        <v>94</v>
      </c>
      <c r="F85" s="2" t="s">
        <v>232</v>
      </c>
      <c r="G85" s="3">
        <v>185741</v>
      </c>
      <c r="H85" s="2" t="s">
        <v>139</v>
      </c>
      <c r="I85" s="4"/>
      <c r="J85" s="2" t="s">
        <v>218</v>
      </c>
      <c r="K85" s="2" t="s">
        <v>97</v>
      </c>
      <c r="L85" s="2" t="s">
        <v>219</v>
      </c>
      <c r="M85" s="2" t="s">
        <v>247</v>
      </c>
      <c r="N85" s="2" t="s">
        <v>220</v>
      </c>
      <c r="O85" s="6" t="s">
        <v>248</v>
      </c>
      <c r="P85" s="2" t="s">
        <v>102</v>
      </c>
    </row>
    <row r="86" spans="1:16">
      <c r="A86" s="2" t="s">
        <v>153</v>
      </c>
      <c r="B86" s="5">
        <v>45565</v>
      </c>
      <c r="C86" s="2" t="s">
        <v>62</v>
      </c>
      <c r="D86" s="2" t="s">
        <v>63</v>
      </c>
      <c r="E86" s="2" t="s">
        <v>94</v>
      </c>
      <c r="F86" s="2" t="s">
        <v>233</v>
      </c>
      <c r="G86" s="3">
        <v>2806</v>
      </c>
      <c r="H86" s="2" t="s">
        <v>139</v>
      </c>
      <c r="I86" s="4"/>
      <c r="J86" s="2" t="s">
        <v>218</v>
      </c>
      <c r="K86" s="2" t="s">
        <v>97</v>
      </c>
      <c r="L86" s="2" t="s">
        <v>219</v>
      </c>
      <c r="M86" s="2" t="s">
        <v>247</v>
      </c>
      <c r="N86" s="2" t="s">
        <v>220</v>
      </c>
      <c r="O86" s="6" t="s">
        <v>248</v>
      </c>
      <c r="P86" s="2" t="s">
        <v>102</v>
      </c>
    </row>
    <row r="87" spans="1:16">
      <c r="A87" s="2" t="s">
        <v>153</v>
      </c>
      <c r="B87" s="5">
        <v>45565</v>
      </c>
      <c r="C87" s="2" t="s">
        <v>62</v>
      </c>
      <c r="D87" s="2" t="s">
        <v>63</v>
      </c>
      <c r="E87" s="2" t="s">
        <v>141</v>
      </c>
      <c r="F87" s="2" t="s">
        <v>234</v>
      </c>
      <c r="G87" s="3"/>
      <c r="H87" s="2" t="s">
        <v>134</v>
      </c>
      <c r="I87" s="4">
        <f>G79+G80+G81</f>
        <v>2319493</v>
      </c>
      <c r="J87" s="2" t="s">
        <v>235</v>
      </c>
      <c r="K87" s="2" t="s">
        <v>97</v>
      </c>
      <c r="L87" s="2" t="s">
        <v>236</v>
      </c>
      <c r="M87" s="2" t="s">
        <v>247</v>
      </c>
      <c r="N87" s="2" t="s">
        <v>237</v>
      </c>
      <c r="O87" s="6" t="s">
        <v>248</v>
      </c>
      <c r="P87" s="2" t="s">
        <v>102</v>
      </c>
    </row>
    <row r="88" spans="1:16">
      <c r="A88" s="2" t="s">
        <v>153</v>
      </c>
      <c r="B88" s="5">
        <v>45565</v>
      </c>
      <c r="C88" s="2" t="s">
        <v>62</v>
      </c>
      <c r="D88" s="2" t="s">
        <v>63</v>
      </c>
      <c r="E88" s="2" t="s">
        <v>141</v>
      </c>
      <c r="F88" s="2" t="s">
        <v>238</v>
      </c>
      <c r="G88" s="3"/>
      <c r="H88" s="2" t="s">
        <v>137</v>
      </c>
      <c r="I88" s="4">
        <f>G82+G83</f>
        <v>261433</v>
      </c>
      <c r="J88" s="2" t="s">
        <v>239</v>
      </c>
      <c r="K88" s="2" t="s">
        <v>97</v>
      </c>
      <c r="L88" s="2" t="s">
        <v>240</v>
      </c>
      <c r="M88" s="2" t="s">
        <v>247</v>
      </c>
      <c r="N88" s="2" t="s">
        <v>241</v>
      </c>
      <c r="O88" s="6" t="s">
        <v>248</v>
      </c>
      <c r="P88" s="2" t="s">
        <v>102</v>
      </c>
    </row>
    <row r="89" spans="1:16">
      <c r="A89" s="2" t="s">
        <v>153</v>
      </c>
      <c r="B89" s="5">
        <v>45565</v>
      </c>
      <c r="C89" s="2" t="s">
        <v>62</v>
      </c>
      <c r="D89" s="2" t="s">
        <v>63</v>
      </c>
      <c r="E89" s="2" t="s">
        <v>141</v>
      </c>
      <c r="F89" s="2" t="s">
        <v>242</v>
      </c>
      <c r="G89" s="3"/>
      <c r="H89" s="2" t="s">
        <v>143</v>
      </c>
      <c r="I89" s="4">
        <f>G84+G85+G86</f>
        <v>247738</v>
      </c>
      <c r="J89" s="2" t="s">
        <v>243</v>
      </c>
      <c r="K89" s="2" t="s">
        <v>97</v>
      </c>
      <c r="L89" s="2" t="s">
        <v>244</v>
      </c>
      <c r="M89" s="2" t="s">
        <v>247</v>
      </c>
      <c r="N89" s="2" t="s">
        <v>241</v>
      </c>
      <c r="O89" s="6" t="s">
        <v>248</v>
      </c>
      <c r="P89" s="2" t="s">
        <v>102</v>
      </c>
    </row>
    <row r="90" spans="1:16" ht="23">
      <c r="A90" s="2" t="s">
        <v>156</v>
      </c>
      <c r="B90" s="5">
        <v>45930</v>
      </c>
      <c r="C90" s="2" t="s">
        <v>62</v>
      </c>
      <c r="D90" s="2" t="s">
        <v>63</v>
      </c>
      <c r="E90" s="2" t="s">
        <v>94</v>
      </c>
      <c r="F90" s="2" t="s">
        <v>95</v>
      </c>
      <c r="G90" s="3">
        <v>1343282</v>
      </c>
      <c r="H90" s="2" t="s">
        <v>95</v>
      </c>
      <c r="I90" s="4">
        <f>G90</f>
        <v>1343282</v>
      </c>
      <c r="J90" s="2" t="s">
        <v>199</v>
      </c>
      <c r="K90" s="2" t="s">
        <v>97</v>
      </c>
      <c r="L90" s="2" t="s">
        <v>200</v>
      </c>
      <c r="M90" s="2" t="s">
        <v>247</v>
      </c>
      <c r="N90" s="2" t="s">
        <v>202</v>
      </c>
      <c r="O90" s="6" t="s">
        <v>248</v>
      </c>
      <c r="P90" s="2" t="s">
        <v>102</v>
      </c>
    </row>
    <row r="91" spans="1:16" ht="23">
      <c r="A91" s="2" t="s">
        <v>156</v>
      </c>
      <c r="B91" s="5">
        <v>45930</v>
      </c>
      <c r="C91" s="2" t="s">
        <v>62</v>
      </c>
      <c r="D91" s="2" t="s">
        <v>63</v>
      </c>
      <c r="E91" s="2" t="s">
        <v>94</v>
      </c>
      <c r="F91" s="2" t="s">
        <v>204</v>
      </c>
      <c r="G91" s="3">
        <v>1613777</v>
      </c>
      <c r="H91" s="2" t="s">
        <v>205</v>
      </c>
      <c r="I91" s="4"/>
      <c r="J91" s="2" t="s">
        <v>206</v>
      </c>
      <c r="K91" s="2" t="s">
        <v>97</v>
      </c>
      <c r="L91" s="2" t="s">
        <v>207</v>
      </c>
      <c r="M91" s="2" t="s">
        <v>247</v>
      </c>
      <c r="N91" s="2" t="s">
        <v>202</v>
      </c>
      <c r="O91" s="6" t="s">
        <v>248</v>
      </c>
      <c r="P91" s="2" t="s">
        <v>102</v>
      </c>
    </row>
    <row r="92" spans="1:16" ht="23">
      <c r="A92" s="2" t="s">
        <v>156</v>
      </c>
      <c r="B92" s="5">
        <v>45930</v>
      </c>
      <c r="C92" s="2" t="s">
        <v>62</v>
      </c>
      <c r="D92" s="2" t="s">
        <v>63</v>
      </c>
      <c r="E92" s="2" t="s">
        <v>94</v>
      </c>
      <c r="F92" s="2" t="s">
        <v>208</v>
      </c>
      <c r="G92" s="3">
        <v>1367989</v>
      </c>
      <c r="H92" s="2" t="s">
        <v>117</v>
      </c>
      <c r="I92" s="4">
        <f>G92</f>
        <v>1367989</v>
      </c>
      <c r="J92" s="2" t="s">
        <v>209</v>
      </c>
      <c r="K92" s="2" t="s">
        <v>97</v>
      </c>
      <c r="L92" s="2" t="s">
        <v>210</v>
      </c>
      <c r="M92" s="2" t="s">
        <v>247</v>
      </c>
      <c r="N92" s="2" t="s">
        <v>202</v>
      </c>
      <c r="O92" s="6" t="s">
        <v>248</v>
      </c>
      <c r="P92" s="2" t="s">
        <v>102</v>
      </c>
    </row>
    <row r="93" spans="1:16" ht="23">
      <c r="A93" s="2" t="s">
        <v>156</v>
      </c>
      <c r="B93" s="5">
        <v>45930</v>
      </c>
      <c r="C93" s="2" t="s">
        <v>62</v>
      </c>
      <c r="D93" s="2" t="s">
        <v>63</v>
      </c>
      <c r="E93" s="2" t="s">
        <v>94</v>
      </c>
      <c r="F93" s="2" t="s">
        <v>211</v>
      </c>
      <c r="G93" s="3">
        <v>577286</v>
      </c>
      <c r="H93" s="2" t="s">
        <v>122</v>
      </c>
      <c r="I93" s="4">
        <f>G93</f>
        <v>577286</v>
      </c>
      <c r="J93" s="2" t="s">
        <v>212</v>
      </c>
      <c r="K93" s="2" t="s">
        <v>97</v>
      </c>
      <c r="L93" s="2" t="s">
        <v>213</v>
      </c>
      <c r="M93" s="2" t="s">
        <v>247</v>
      </c>
      <c r="N93" s="2" t="s">
        <v>202</v>
      </c>
      <c r="O93" s="6" t="s">
        <v>248</v>
      </c>
      <c r="P93" s="2" t="s">
        <v>102</v>
      </c>
    </row>
    <row r="94" spans="1:16" ht="23">
      <c r="A94" s="2" t="s">
        <v>156</v>
      </c>
      <c r="B94" s="5">
        <v>45930</v>
      </c>
      <c r="C94" s="2" t="s">
        <v>62</v>
      </c>
      <c r="D94" s="2" t="s">
        <v>63</v>
      </c>
      <c r="E94" s="2" t="s">
        <v>94</v>
      </c>
      <c r="F94" s="2" t="s">
        <v>214</v>
      </c>
      <c r="G94" s="3">
        <v>1014834</v>
      </c>
      <c r="H94" s="2" t="s">
        <v>215</v>
      </c>
      <c r="I94" s="4"/>
      <c r="J94" s="2" t="s">
        <v>216</v>
      </c>
      <c r="K94" s="2" t="s">
        <v>97</v>
      </c>
      <c r="L94" s="2" t="s">
        <v>217</v>
      </c>
      <c r="M94" s="2" t="s">
        <v>247</v>
      </c>
      <c r="N94" s="2" t="s">
        <v>202</v>
      </c>
      <c r="O94" s="6" t="s">
        <v>248</v>
      </c>
      <c r="P94" s="2" t="s">
        <v>102</v>
      </c>
    </row>
    <row r="95" spans="1:16">
      <c r="A95" s="2" t="s">
        <v>156</v>
      </c>
      <c r="B95" s="5">
        <v>45930</v>
      </c>
      <c r="C95" s="2" t="s">
        <v>62</v>
      </c>
      <c r="D95" s="2" t="s">
        <v>63</v>
      </c>
      <c r="E95" s="2" t="s">
        <v>94</v>
      </c>
      <c r="F95" s="2" t="s">
        <v>127</v>
      </c>
      <c r="G95" s="3">
        <v>15912673</v>
      </c>
      <c r="H95" s="2" t="s">
        <v>127</v>
      </c>
      <c r="I95" s="4">
        <f>G95</f>
        <v>15912673</v>
      </c>
      <c r="J95" s="2" t="s">
        <v>218</v>
      </c>
      <c r="K95" s="2" t="s">
        <v>97</v>
      </c>
      <c r="L95" s="2" t="s">
        <v>219</v>
      </c>
      <c r="M95" s="2" t="s">
        <v>247</v>
      </c>
      <c r="N95" s="2" t="s">
        <v>220</v>
      </c>
      <c r="O95" s="6" t="s">
        <v>248</v>
      </c>
      <c r="P95" s="2" t="s">
        <v>102</v>
      </c>
    </row>
    <row r="96" spans="1:16" ht="23">
      <c r="A96" s="2" t="s">
        <v>156</v>
      </c>
      <c r="B96" s="5">
        <v>45930</v>
      </c>
      <c r="C96" s="2" t="s">
        <v>62</v>
      </c>
      <c r="D96" s="2" t="s">
        <v>63</v>
      </c>
      <c r="E96" s="2" t="s">
        <v>94</v>
      </c>
      <c r="F96" s="2" t="s">
        <v>221</v>
      </c>
      <c r="G96" s="3">
        <v>13301045</v>
      </c>
      <c r="H96" s="2" t="s">
        <v>222</v>
      </c>
      <c r="I96" s="4"/>
      <c r="J96" s="2" t="s">
        <v>218</v>
      </c>
      <c r="K96" s="2" t="s">
        <v>97</v>
      </c>
      <c r="L96" s="2" t="s">
        <v>219</v>
      </c>
      <c r="M96" s="2" t="s">
        <v>247</v>
      </c>
      <c r="N96" s="2" t="s">
        <v>220</v>
      </c>
      <c r="O96" s="6" t="s">
        <v>248</v>
      </c>
      <c r="P96" s="2" t="s">
        <v>102</v>
      </c>
    </row>
    <row r="97" spans="1:16">
      <c r="A97" s="2" t="s">
        <v>156</v>
      </c>
      <c r="B97" s="5">
        <v>45930</v>
      </c>
      <c r="C97" s="2" t="s">
        <v>62</v>
      </c>
      <c r="D97" s="2" t="s">
        <v>63</v>
      </c>
      <c r="E97" s="2" t="s">
        <v>94</v>
      </c>
      <c r="F97" s="2" t="s">
        <v>223</v>
      </c>
      <c r="G97" s="3">
        <v>1658285</v>
      </c>
      <c r="H97" s="2" t="s">
        <v>135</v>
      </c>
      <c r="I97" s="4">
        <f>G97</f>
        <v>1658285</v>
      </c>
      <c r="J97" s="2" t="s">
        <v>218</v>
      </c>
      <c r="K97" s="2" t="s">
        <v>97</v>
      </c>
      <c r="L97" s="2" t="s">
        <v>219</v>
      </c>
      <c r="M97" s="2" t="s">
        <v>247</v>
      </c>
      <c r="N97" s="2" t="s">
        <v>220</v>
      </c>
      <c r="O97" s="6" t="s">
        <v>248</v>
      </c>
      <c r="P97" s="2" t="s">
        <v>102</v>
      </c>
    </row>
    <row r="98" spans="1:16">
      <c r="A98" s="2" t="s">
        <v>156</v>
      </c>
      <c r="B98" s="5">
        <v>45930</v>
      </c>
      <c r="C98" s="2" t="s">
        <v>62</v>
      </c>
      <c r="D98" s="2" t="s">
        <v>63</v>
      </c>
      <c r="E98" s="2" t="s">
        <v>94</v>
      </c>
      <c r="F98" s="2" t="s">
        <v>136</v>
      </c>
      <c r="G98" s="3">
        <v>2234197</v>
      </c>
      <c r="H98" s="2" t="s">
        <v>136</v>
      </c>
      <c r="I98" s="4">
        <f>G98</f>
        <v>2234197</v>
      </c>
      <c r="J98" s="2" t="s">
        <v>218</v>
      </c>
      <c r="K98" s="2" t="s">
        <v>97</v>
      </c>
      <c r="L98" s="2" t="s">
        <v>219</v>
      </c>
      <c r="M98" s="2" t="s">
        <v>247</v>
      </c>
      <c r="N98" s="2" t="s">
        <v>220</v>
      </c>
      <c r="O98" s="6" t="s">
        <v>248</v>
      </c>
      <c r="P98" s="2" t="s">
        <v>102</v>
      </c>
    </row>
    <row r="99" spans="1:16">
      <c r="A99" s="2" t="s">
        <v>156</v>
      </c>
      <c r="B99" s="5">
        <v>45930</v>
      </c>
      <c r="C99" s="2" t="s">
        <v>62</v>
      </c>
      <c r="D99" s="2" t="s">
        <v>63</v>
      </c>
      <c r="E99" s="2" t="s">
        <v>94</v>
      </c>
      <c r="F99" s="2" t="s">
        <v>224</v>
      </c>
      <c r="G99" s="3">
        <v>2242190</v>
      </c>
      <c r="H99" s="2" t="s">
        <v>225</v>
      </c>
      <c r="I99" s="4"/>
      <c r="J99" s="2" t="s">
        <v>218</v>
      </c>
      <c r="K99" s="2" t="s">
        <v>97</v>
      </c>
      <c r="L99" s="2" t="s">
        <v>219</v>
      </c>
      <c r="M99" s="2" t="s">
        <v>247</v>
      </c>
      <c r="N99" s="2" t="s">
        <v>220</v>
      </c>
      <c r="O99" s="6" t="s">
        <v>248</v>
      </c>
      <c r="P99" s="2" t="s">
        <v>102</v>
      </c>
    </row>
    <row r="100" spans="1:16">
      <c r="A100" s="2" t="s">
        <v>156</v>
      </c>
      <c r="B100" s="5">
        <v>45930</v>
      </c>
      <c r="C100" s="2" t="s">
        <v>62</v>
      </c>
      <c r="D100" s="2" t="s">
        <v>63</v>
      </c>
      <c r="E100" s="2" t="s">
        <v>94</v>
      </c>
      <c r="F100" s="2" t="s">
        <v>226</v>
      </c>
      <c r="G100" s="3">
        <v>83692</v>
      </c>
      <c r="H100" s="2" t="s">
        <v>225</v>
      </c>
      <c r="I100" s="4"/>
      <c r="J100" s="2" t="s">
        <v>218</v>
      </c>
      <c r="K100" s="2" t="s">
        <v>97</v>
      </c>
      <c r="L100" s="2" t="s">
        <v>219</v>
      </c>
      <c r="M100" s="2" t="s">
        <v>247</v>
      </c>
      <c r="N100" s="2" t="s">
        <v>220</v>
      </c>
      <c r="O100" s="6" t="s">
        <v>248</v>
      </c>
      <c r="P100" s="2" t="s">
        <v>102</v>
      </c>
    </row>
    <row r="101" spans="1:16">
      <c r="A101" s="2" t="s">
        <v>156</v>
      </c>
      <c r="B101" s="5">
        <v>45930</v>
      </c>
      <c r="C101" s="2" t="s">
        <v>62</v>
      </c>
      <c r="D101" s="2" t="s">
        <v>63</v>
      </c>
      <c r="E101" s="2" t="s">
        <v>94</v>
      </c>
      <c r="F101" s="2" t="s">
        <v>227</v>
      </c>
      <c r="G101" s="3">
        <v>715</v>
      </c>
      <c r="H101" s="2" t="s">
        <v>225</v>
      </c>
      <c r="I101" s="4"/>
      <c r="J101" s="2" t="s">
        <v>218</v>
      </c>
      <c r="K101" s="2" t="s">
        <v>97</v>
      </c>
      <c r="L101" s="2" t="s">
        <v>219</v>
      </c>
      <c r="M101" s="2" t="s">
        <v>247</v>
      </c>
      <c r="N101" s="2" t="s">
        <v>220</v>
      </c>
      <c r="O101" s="6" t="s">
        <v>248</v>
      </c>
      <c r="P101" s="2" t="s">
        <v>102</v>
      </c>
    </row>
    <row r="102" spans="1:16">
      <c r="A102" s="2" t="s">
        <v>156</v>
      </c>
      <c r="B102" s="5">
        <v>45930</v>
      </c>
      <c r="C102" s="2" t="s">
        <v>62</v>
      </c>
      <c r="D102" s="2" t="s">
        <v>63</v>
      </c>
      <c r="E102" s="2" t="s">
        <v>94</v>
      </c>
      <c r="F102" s="2" t="s">
        <v>228</v>
      </c>
      <c r="G102" s="3">
        <v>134243</v>
      </c>
      <c r="H102" s="2" t="s">
        <v>229</v>
      </c>
      <c r="I102" s="4"/>
      <c r="J102" s="2" t="s">
        <v>218</v>
      </c>
      <c r="K102" s="2" t="s">
        <v>97</v>
      </c>
      <c r="L102" s="2" t="s">
        <v>219</v>
      </c>
      <c r="M102" s="2" t="s">
        <v>247</v>
      </c>
      <c r="N102" s="2" t="s">
        <v>220</v>
      </c>
      <c r="O102" s="6" t="s">
        <v>248</v>
      </c>
      <c r="P102" s="2" t="s">
        <v>102</v>
      </c>
    </row>
    <row r="103" spans="1:16">
      <c r="A103" s="2" t="s">
        <v>156</v>
      </c>
      <c r="B103" s="5">
        <v>45930</v>
      </c>
      <c r="C103" s="2" t="s">
        <v>62</v>
      </c>
      <c r="D103" s="2" t="s">
        <v>63</v>
      </c>
      <c r="E103" s="2" t="s">
        <v>94</v>
      </c>
      <c r="F103" s="2" t="s">
        <v>230</v>
      </c>
      <c r="G103" s="3">
        <v>138240</v>
      </c>
      <c r="H103" s="2" t="s">
        <v>229</v>
      </c>
      <c r="I103" s="4"/>
      <c r="J103" s="2" t="s">
        <v>218</v>
      </c>
      <c r="K103" s="2" t="s">
        <v>97</v>
      </c>
      <c r="L103" s="2" t="s">
        <v>219</v>
      </c>
      <c r="M103" s="2" t="s">
        <v>247</v>
      </c>
      <c r="N103" s="2" t="s">
        <v>220</v>
      </c>
      <c r="O103" s="6" t="s">
        <v>248</v>
      </c>
      <c r="P103" s="2" t="s">
        <v>102</v>
      </c>
    </row>
    <row r="104" spans="1:16">
      <c r="A104" s="2" t="s">
        <v>156</v>
      </c>
      <c r="B104" s="5">
        <v>45930</v>
      </c>
      <c r="C104" s="2" t="s">
        <v>62</v>
      </c>
      <c r="D104" s="2" t="s">
        <v>63</v>
      </c>
      <c r="E104" s="2" t="s">
        <v>94</v>
      </c>
      <c r="F104" s="2" t="s">
        <v>231</v>
      </c>
      <c r="G104" s="3">
        <v>74059</v>
      </c>
      <c r="H104" s="2" t="s">
        <v>139</v>
      </c>
      <c r="I104" s="4"/>
      <c r="J104" s="2" t="s">
        <v>218</v>
      </c>
      <c r="K104" s="2" t="s">
        <v>97</v>
      </c>
      <c r="L104" s="2" t="s">
        <v>219</v>
      </c>
      <c r="M104" s="2" t="s">
        <v>247</v>
      </c>
      <c r="N104" s="2" t="s">
        <v>220</v>
      </c>
      <c r="O104" s="6" t="s">
        <v>248</v>
      </c>
      <c r="P104" s="2" t="s">
        <v>102</v>
      </c>
    </row>
    <row r="105" spans="1:16">
      <c r="A105" s="2" t="s">
        <v>156</v>
      </c>
      <c r="B105" s="5">
        <v>45930</v>
      </c>
      <c r="C105" s="2" t="s">
        <v>62</v>
      </c>
      <c r="D105" s="2" t="s">
        <v>63</v>
      </c>
      <c r="E105" s="2" t="s">
        <v>94</v>
      </c>
      <c r="F105" s="2" t="s">
        <v>232</v>
      </c>
      <c r="G105" s="3">
        <v>231639</v>
      </c>
      <c r="H105" s="2" t="s">
        <v>139</v>
      </c>
      <c r="I105" s="4"/>
      <c r="J105" s="2" t="s">
        <v>218</v>
      </c>
      <c r="K105" s="2" t="s">
        <v>97</v>
      </c>
      <c r="L105" s="2" t="s">
        <v>219</v>
      </c>
      <c r="M105" s="2" t="s">
        <v>247</v>
      </c>
      <c r="N105" s="2" t="s">
        <v>220</v>
      </c>
      <c r="O105" s="6" t="s">
        <v>248</v>
      </c>
      <c r="P105" s="2" t="s">
        <v>102</v>
      </c>
    </row>
    <row r="106" spans="1:16">
      <c r="A106" s="2" t="s">
        <v>156</v>
      </c>
      <c r="B106" s="5">
        <v>45930</v>
      </c>
      <c r="C106" s="2" t="s">
        <v>62</v>
      </c>
      <c r="D106" s="2" t="s">
        <v>63</v>
      </c>
      <c r="E106" s="2" t="s">
        <v>94</v>
      </c>
      <c r="F106" s="2" t="s">
        <v>233</v>
      </c>
      <c r="G106" s="3">
        <v>4170</v>
      </c>
      <c r="H106" s="2" t="s">
        <v>139</v>
      </c>
      <c r="I106" s="4"/>
      <c r="J106" s="2" t="s">
        <v>218</v>
      </c>
      <c r="K106" s="2" t="s">
        <v>97</v>
      </c>
      <c r="L106" s="2" t="s">
        <v>219</v>
      </c>
      <c r="M106" s="2" t="s">
        <v>247</v>
      </c>
      <c r="N106" s="2" t="s">
        <v>220</v>
      </c>
      <c r="O106" s="6" t="s">
        <v>248</v>
      </c>
      <c r="P106" s="2" t="s">
        <v>102</v>
      </c>
    </row>
    <row r="107" spans="1:16">
      <c r="A107" s="2" t="s">
        <v>156</v>
      </c>
      <c r="B107" s="5">
        <v>45930</v>
      </c>
      <c r="C107" s="2" t="s">
        <v>62</v>
      </c>
      <c r="D107" s="2" t="s">
        <v>63</v>
      </c>
      <c r="E107" s="2" t="s">
        <v>141</v>
      </c>
      <c r="F107" s="2" t="s">
        <v>234</v>
      </c>
      <c r="G107" s="3"/>
      <c r="H107" s="2" t="s">
        <v>134</v>
      </c>
      <c r="I107" s="4">
        <f>G99+G100+G101</f>
        <v>2326597</v>
      </c>
      <c r="J107" s="2" t="s">
        <v>235</v>
      </c>
      <c r="K107" s="2" t="s">
        <v>97</v>
      </c>
      <c r="L107" s="2" t="s">
        <v>236</v>
      </c>
      <c r="M107" s="2" t="s">
        <v>247</v>
      </c>
      <c r="N107" s="2" t="s">
        <v>237</v>
      </c>
      <c r="O107" s="6" t="s">
        <v>248</v>
      </c>
      <c r="P107" s="2" t="s">
        <v>102</v>
      </c>
    </row>
    <row r="108" spans="1:16">
      <c r="A108" s="2" t="s">
        <v>156</v>
      </c>
      <c r="B108" s="5">
        <v>45930</v>
      </c>
      <c r="C108" s="2" t="s">
        <v>62</v>
      </c>
      <c r="D108" s="2" t="s">
        <v>63</v>
      </c>
      <c r="E108" s="2" t="s">
        <v>141</v>
      </c>
      <c r="F108" s="2" t="s">
        <v>238</v>
      </c>
      <c r="G108" s="3"/>
      <c r="H108" s="2" t="s">
        <v>137</v>
      </c>
      <c r="I108" s="4">
        <f>G102+G103</f>
        <v>272483</v>
      </c>
      <c r="J108" s="2" t="s">
        <v>239</v>
      </c>
      <c r="K108" s="2" t="s">
        <v>97</v>
      </c>
      <c r="L108" s="2" t="s">
        <v>240</v>
      </c>
      <c r="M108" s="2" t="s">
        <v>247</v>
      </c>
      <c r="N108" s="2" t="s">
        <v>241</v>
      </c>
      <c r="O108" s="6" t="s">
        <v>248</v>
      </c>
      <c r="P108" s="2" t="s">
        <v>102</v>
      </c>
    </row>
    <row r="109" spans="1:16">
      <c r="A109" s="2" t="s">
        <v>156</v>
      </c>
      <c r="B109" s="5">
        <v>45930</v>
      </c>
      <c r="C109" s="2" t="s">
        <v>62</v>
      </c>
      <c r="D109" s="2" t="s">
        <v>63</v>
      </c>
      <c r="E109" s="2" t="s">
        <v>141</v>
      </c>
      <c r="F109" s="2" t="s">
        <v>242</v>
      </c>
      <c r="G109" s="3"/>
      <c r="H109" s="2" t="s">
        <v>143</v>
      </c>
      <c r="I109" s="4">
        <f>G104+G105+G106</f>
        <v>309868</v>
      </c>
      <c r="J109" s="2" t="s">
        <v>243</v>
      </c>
      <c r="K109" s="2" t="s">
        <v>97</v>
      </c>
      <c r="L109" s="2" t="s">
        <v>244</v>
      </c>
      <c r="M109" s="2" t="s">
        <v>247</v>
      </c>
      <c r="N109" s="2" t="s">
        <v>241</v>
      </c>
      <c r="O109" s="6" t="s">
        <v>248</v>
      </c>
      <c r="P109" s="2" t="s">
        <v>102</v>
      </c>
    </row>
    <row r="110" spans="1:16" ht="23">
      <c r="A110" s="2" t="s">
        <v>159</v>
      </c>
      <c r="B110" s="5"/>
      <c r="C110" s="2" t="s">
        <v>62</v>
      </c>
      <c r="D110" s="2" t="s">
        <v>63</v>
      </c>
      <c r="E110" s="2" t="s">
        <v>160</v>
      </c>
      <c r="F110" s="2" t="s">
        <v>161</v>
      </c>
      <c r="G110" s="3"/>
      <c r="H110" s="2" t="s">
        <v>162</v>
      </c>
      <c r="I110" s="4"/>
      <c r="J110" s="2" t="s">
        <v>195</v>
      </c>
      <c r="K110" s="2" t="s">
        <v>97</v>
      </c>
      <c r="L110" s="2" t="s">
        <v>249</v>
      </c>
      <c r="M110" s="2" t="s">
        <v>165</v>
      </c>
      <c r="N110" s="2" t="s">
        <v>166</v>
      </c>
      <c r="O110" s="6"/>
      <c r="P110" s="2" t="s">
        <v>167</v>
      </c>
    </row>
  </sheetData>
  <mergeCells count="2">
    <mergeCell ref="A1:P1"/>
    <mergeCell ref="A2:P2"/>
  </mergeCells>
  <conditionalFormatting sqref="K5:K110">
    <cfRule type="expression" dxfId="19" priority="1">
      <formula>K5="Yes"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4"/>
  <sheetViews>
    <sheetView workbookViewId="0">
      <selection sqref="A1:P1"/>
    </sheetView>
  </sheetViews>
  <sheetFormatPr defaultRowHeight="14"/>
  <cols>
    <col min="1" max="1" width="10" customWidth="1"/>
    <col min="2" max="2" width="14" customWidth="1"/>
    <col min="3" max="3" width="12" customWidth="1"/>
    <col min="4" max="4" width="13" customWidth="1"/>
    <col min="5" max="5" width="16" customWidth="1"/>
    <col min="6" max="6" width="31" customWidth="1"/>
    <col min="7" max="7" width="17" customWidth="1"/>
    <col min="8" max="8" width="26" customWidth="1"/>
    <col min="9" max="9" width="19" customWidth="1"/>
    <col min="10" max="10" width="36" customWidth="1"/>
    <col min="11" max="11" width="15" customWidth="1"/>
    <col min="12" max="12" width="46" customWidth="1"/>
    <col min="13" max="13" width="30" customWidth="1"/>
    <col min="14" max="14" width="28" customWidth="1"/>
    <col min="15" max="15" width="44" customWidth="1"/>
    <col min="16" max="16" width="12" customWidth="1"/>
  </cols>
  <sheetData>
    <row r="1" spans="1:16" ht="17.399999999999999" customHeight="1">
      <c r="A1" s="13" t="s">
        <v>250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6" ht="16" customHeight="1">
      <c r="A2" s="14" t="s">
        <v>251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4" spans="1:16" ht="20" customHeight="1">
      <c r="A4" s="1" t="s">
        <v>78</v>
      </c>
      <c r="B4" s="1" t="s">
        <v>79</v>
      </c>
      <c r="C4" s="1" t="s">
        <v>80</v>
      </c>
      <c r="D4" s="1" t="s">
        <v>35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92</v>
      </c>
    </row>
    <row r="5" spans="1:16" ht="23">
      <c r="A5" s="2" t="s">
        <v>126</v>
      </c>
      <c r="B5" s="5">
        <v>44286</v>
      </c>
      <c r="C5" s="2" t="s">
        <v>68</v>
      </c>
      <c r="D5" s="2" t="s">
        <v>69</v>
      </c>
      <c r="E5" s="2" t="s">
        <v>94</v>
      </c>
      <c r="F5" s="2" t="s">
        <v>252</v>
      </c>
      <c r="G5" s="3">
        <v>30134</v>
      </c>
      <c r="H5" s="2" t="s">
        <v>253</v>
      </c>
      <c r="I5" s="4"/>
      <c r="J5" s="2" t="s">
        <v>254</v>
      </c>
      <c r="K5" s="2" t="s">
        <v>97</v>
      </c>
      <c r="L5" s="2" t="s">
        <v>255</v>
      </c>
      <c r="M5" s="2" t="s">
        <v>256</v>
      </c>
      <c r="N5" s="2" t="s">
        <v>257</v>
      </c>
      <c r="O5" s="6" t="s">
        <v>258</v>
      </c>
      <c r="P5" s="2" t="s">
        <v>102</v>
      </c>
    </row>
    <row r="6" spans="1:16" ht="23">
      <c r="A6" s="2" t="s">
        <v>126</v>
      </c>
      <c r="B6" s="5">
        <v>44286</v>
      </c>
      <c r="C6" s="2" t="s">
        <v>68</v>
      </c>
      <c r="D6" s="2" t="s">
        <v>69</v>
      </c>
      <c r="E6" s="2" t="s">
        <v>94</v>
      </c>
      <c r="F6" s="2" t="s">
        <v>259</v>
      </c>
      <c r="G6" s="3">
        <v>6856</v>
      </c>
      <c r="H6" s="2" t="s">
        <v>260</v>
      </c>
      <c r="I6" s="4"/>
      <c r="J6" s="2" t="s">
        <v>261</v>
      </c>
      <c r="K6" s="2" t="s">
        <v>97</v>
      </c>
      <c r="L6" s="2" t="s">
        <v>255</v>
      </c>
      <c r="M6" s="2" t="s">
        <v>256</v>
      </c>
      <c r="N6" s="2" t="s">
        <v>257</v>
      </c>
      <c r="O6" s="6" t="s">
        <v>258</v>
      </c>
      <c r="P6" s="2" t="s">
        <v>102</v>
      </c>
    </row>
    <row r="7" spans="1:16" ht="23">
      <c r="A7" s="2" t="s">
        <v>126</v>
      </c>
      <c r="B7" s="5">
        <v>44286</v>
      </c>
      <c r="C7" s="2" t="s">
        <v>68</v>
      </c>
      <c r="D7" s="2" t="s">
        <v>69</v>
      </c>
      <c r="E7" s="2" t="s">
        <v>94</v>
      </c>
      <c r="F7" s="2" t="s">
        <v>262</v>
      </c>
      <c r="G7" s="3">
        <v>4080</v>
      </c>
      <c r="H7" s="2" t="s">
        <v>117</v>
      </c>
      <c r="I7" s="4">
        <f>G7</f>
        <v>4080</v>
      </c>
      <c r="J7" s="2" t="s">
        <v>263</v>
      </c>
      <c r="K7" s="2" t="s">
        <v>97</v>
      </c>
      <c r="L7" s="2" t="s">
        <v>255</v>
      </c>
      <c r="M7" s="2" t="s">
        <v>256</v>
      </c>
      <c r="N7" s="2" t="s">
        <v>257</v>
      </c>
      <c r="O7" s="6" t="s">
        <v>258</v>
      </c>
      <c r="P7" s="2" t="s">
        <v>102</v>
      </c>
    </row>
    <row r="8" spans="1:16" ht="23">
      <c r="A8" s="2" t="s">
        <v>126</v>
      </c>
      <c r="B8" s="5">
        <v>44286</v>
      </c>
      <c r="C8" s="2" t="s">
        <v>68</v>
      </c>
      <c r="D8" s="2" t="s">
        <v>69</v>
      </c>
      <c r="E8" s="2" t="s">
        <v>94</v>
      </c>
      <c r="F8" s="2" t="s">
        <v>161</v>
      </c>
      <c r="G8" s="3">
        <v>8</v>
      </c>
      <c r="H8" s="2" t="s">
        <v>161</v>
      </c>
      <c r="I8" s="4">
        <f>G8</f>
        <v>8</v>
      </c>
      <c r="J8" s="2" t="s">
        <v>264</v>
      </c>
      <c r="K8" s="2" t="s">
        <v>97</v>
      </c>
      <c r="L8" s="2" t="s">
        <v>255</v>
      </c>
      <c r="M8" s="2" t="s">
        <v>256</v>
      </c>
      <c r="N8" s="2" t="s">
        <v>257</v>
      </c>
      <c r="O8" s="6" t="s">
        <v>258</v>
      </c>
      <c r="P8" s="2" t="s">
        <v>102</v>
      </c>
    </row>
    <row r="9" spans="1:16" ht="23">
      <c r="A9" s="2" t="s">
        <v>126</v>
      </c>
      <c r="B9" s="5">
        <v>44286</v>
      </c>
      <c r="C9" s="2" t="s">
        <v>68</v>
      </c>
      <c r="D9" s="2" t="s">
        <v>69</v>
      </c>
      <c r="E9" s="2" t="s">
        <v>94</v>
      </c>
      <c r="F9" s="2" t="s">
        <v>108</v>
      </c>
      <c r="G9" s="3">
        <v>7860</v>
      </c>
      <c r="H9" s="2" t="s">
        <v>108</v>
      </c>
      <c r="I9" s="4">
        <f>G9</f>
        <v>7860</v>
      </c>
      <c r="J9" s="2" t="s">
        <v>265</v>
      </c>
      <c r="K9" s="2" t="s">
        <v>97</v>
      </c>
      <c r="L9" s="2" t="s">
        <v>255</v>
      </c>
      <c r="M9" s="2" t="s">
        <v>256</v>
      </c>
      <c r="N9" s="2" t="s">
        <v>257</v>
      </c>
      <c r="O9" s="6" t="s">
        <v>258</v>
      </c>
      <c r="P9" s="2" t="s">
        <v>102</v>
      </c>
    </row>
    <row r="10" spans="1:16" ht="23">
      <c r="A10" s="2" t="s">
        <v>126</v>
      </c>
      <c r="B10" s="5">
        <v>44286</v>
      </c>
      <c r="C10" s="2" t="s">
        <v>68</v>
      </c>
      <c r="D10" s="2" t="s">
        <v>69</v>
      </c>
      <c r="E10" s="2" t="s">
        <v>94</v>
      </c>
      <c r="F10" s="2" t="s">
        <v>122</v>
      </c>
      <c r="G10" s="3">
        <v>4847</v>
      </c>
      <c r="H10" s="2" t="s">
        <v>122</v>
      </c>
      <c r="I10" s="4">
        <f>G10</f>
        <v>4847</v>
      </c>
      <c r="J10" s="2" t="s">
        <v>266</v>
      </c>
      <c r="K10" s="2" t="s">
        <v>97</v>
      </c>
      <c r="L10" s="2" t="s">
        <v>255</v>
      </c>
      <c r="M10" s="2" t="s">
        <v>256</v>
      </c>
      <c r="N10" s="2" t="s">
        <v>257</v>
      </c>
      <c r="O10" s="6" t="s">
        <v>258</v>
      </c>
      <c r="P10" s="2" t="s">
        <v>102</v>
      </c>
    </row>
    <row r="11" spans="1:16" ht="23">
      <c r="A11" s="2" t="s">
        <v>126</v>
      </c>
      <c r="B11" s="5">
        <v>44286</v>
      </c>
      <c r="C11" s="2" t="s">
        <v>68</v>
      </c>
      <c r="D11" s="2" t="s">
        <v>69</v>
      </c>
      <c r="E11" s="2" t="s">
        <v>115</v>
      </c>
      <c r="F11" s="2" t="s">
        <v>267</v>
      </c>
      <c r="G11" s="3"/>
      <c r="H11" s="2" t="s">
        <v>95</v>
      </c>
      <c r="I11" s="4">
        <f>G5+G6</f>
        <v>36990</v>
      </c>
      <c r="J11" s="2" t="s">
        <v>268</v>
      </c>
      <c r="K11" s="2" t="s">
        <v>97</v>
      </c>
      <c r="L11" s="2" t="s">
        <v>269</v>
      </c>
      <c r="M11" s="2" t="s">
        <v>256</v>
      </c>
      <c r="N11" s="2" t="s">
        <v>270</v>
      </c>
      <c r="O11" s="6" t="s">
        <v>258</v>
      </c>
      <c r="P11" s="2" t="s">
        <v>102</v>
      </c>
    </row>
    <row r="12" spans="1:16" ht="23">
      <c r="A12" s="2" t="s">
        <v>126</v>
      </c>
      <c r="B12" s="5">
        <v>44286</v>
      </c>
      <c r="C12" s="2" t="s">
        <v>68</v>
      </c>
      <c r="D12" s="2" t="s">
        <v>69</v>
      </c>
      <c r="E12" s="2" t="s">
        <v>141</v>
      </c>
      <c r="F12" s="2" t="s">
        <v>271</v>
      </c>
      <c r="G12" s="3"/>
      <c r="H12" s="2" t="s">
        <v>272</v>
      </c>
      <c r="I12" s="4">
        <f>G6+G7</f>
        <v>10936</v>
      </c>
      <c r="J12" s="2" t="s">
        <v>273</v>
      </c>
      <c r="K12" s="2" t="s">
        <v>97</v>
      </c>
      <c r="L12" s="2" t="s">
        <v>274</v>
      </c>
      <c r="M12" s="2" t="s">
        <v>256</v>
      </c>
      <c r="N12" s="2" t="s">
        <v>275</v>
      </c>
      <c r="O12" s="6" t="s">
        <v>258</v>
      </c>
      <c r="P12" s="2" t="s">
        <v>102</v>
      </c>
    </row>
    <row r="13" spans="1:16" ht="23">
      <c r="A13" s="2" t="s">
        <v>147</v>
      </c>
      <c r="B13" s="5">
        <v>44651</v>
      </c>
      <c r="C13" s="2" t="s">
        <v>68</v>
      </c>
      <c r="D13" s="2" t="s">
        <v>69</v>
      </c>
      <c r="E13" s="2" t="s">
        <v>94</v>
      </c>
      <c r="F13" s="2" t="s">
        <v>252</v>
      </c>
      <c r="G13" s="3">
        <v>34219</v>
      </c>
      <c r="H13" s="2" t="s">
        <v>253</v>
      </c>
      <c r="I13" s="4"/>
      <c r="J13" s="2" t="s">
        <v>254</v>
      </c>
      <c r="K13" s="2" t="s">
        <v>97</v>
      </c>
      <c r="L13" s="2" t="s">
        <v>255</v>
      </c>
      <c r="M13" s="2" t="s">
        <v>256</v>
      </c>
      <c r="N13" s="2" t="s">
        <v>257</v>
      </c>
      <c r="O13" s="6" t="s">
        <v>258</v>
      </c>
      <c r="P13" s="2" t="s">
        <v>102</v>
      </c>
    </row>
    <row r="14" spans="1:16" ht="23">
      <c r="A14" s="2" t="s">
        <v>147</v>
      </c>
      <c r="B14" s="5">
        <v>44651</v>
      </c>
      <c r="C14" s="2" t="s">
        <v>68</v>
      </c>
      <c r="D14" s="2" t="s">
        <v>69</v>
      </c>
      <c r="E14" s="2" t="s">
        <v>94</v>
      </c>
      <c r="F14" s="2" t="s">
        <v>259</v>
      </c>
      <c r="G14" s="3">
        <v>7791</v>
      </c>
      <c r="H14" s="2" t="s">
        <v>260</v>
      </c>
      <c r="I14" s="4"/>
      <c r="J14" s="2" t="s">
        <v>261</v>
      </c>
      <c r="K14" s="2" t="s">
        <v>97</v>
      </c>
      <c r="L14" s="2" t="s">
        <v>255</v>
      </c>
      <c r="M14" s="2" t="s">
        <v>256</v>
      </c>
      <c r="N14" s="2" t="s">
        <v>257</v>
      </c>
      <c r="O14" s="6" t="s">
        <v>258</v>
      </c>
      <c r="P14" s="2" t="s">
        <v>102</v>
      </c>
    </row>
    <row r="15" spans="1:16" ht="23">
      <c r="A15" s="2" t="s">
        <v>147</v>
      </c>
      <c r="B15" s="5">
        <v>44651</v>
      </c>
      <c r="C15" s="2" t="s">
        <v>68</v>
      </c>
      <c r="D15" s="2" t="s">
        <v>69</v>
      </c>
      <c r="E15" s="2" t="s">
        <v>94</v>
      </c>
      <c r="F15" s="2" t="s">
        <v>262</v>
      </c>
      <c r="G15" s="3">
        <v>4419</v>
      </c>
      <c r="H15" s="2" t="s">
        <v>117</v>
      </c>
      <c r="I15" s="4">
        <f>G15</f>
        <v>4419</v>
      </c>
      <c r="J15" s="2" t="s">
        <v>263</v>
      </c>
      <c r="K15" s="2" t="s">
        <v>97</v>
      </c>
      <c r="L15" s="2" t="s">
        <v>255</v>
      </c>
      <c r="M15" s="2" t="s">
        <v>256</v>
      </c>
      <c r="N15" s="2" t="s">
        <v>257</v>
      </c>
      <c r="O15" s="6" t="s">
        <v>258</v>
      </c>
      <c r="P15" s="2" t="s">
        <v>102</v>
      </c>
    </row>
    <row r="16" spans="1:16" ht="23">
      <c r="A16" s="2" t="s">
        <v>147</v>
      </c>
      <c r="B16" s="5">
        <v>44651</v>
      </c>
      <c r="C16" s="2" t="s">
        <v>68</v>
      </c>
      <c r="D16" s="2" t="s">
        <v>69</v>
      </c>
      <c r="E16" s="2" t="s">
        <v>94</v>
      </c>
      <c r="F16" s="2" t="s">
        <v>161</v>
      </c>
      <c r="G16" s="3">
        <v>20</v>
      </c>
      <c r="H16" s="2" t="s">
        <v>161</v>
      </c>
      <c r="I16" s="4">
        <f>G16</f>
        <v>20</v>
      </c>
      <c r="J16" s="2" t="s">
        <v>264</v>
      </c>
      <c r="K16" s="2" t="s">
        <v>97</v>
      </c>
      <c r="L16" s="2" t="s">
        <v>255</v>
      </c>
      <c r="M16" s="2" t="s">
        <v>256</v>
      </c>
      <c r="N16" s="2" t="s">
        <v>257</v>
      </c>
      <c r="O16" s="6" t="s">
        <v>258</v>
      </c>
      <c r="P16" s="2" t="s">
        <v>102</v>
      </c>
    </row>
    <row r="17" spans="1:16" ht="23">
      <c r="A17" s="2" t="s">
        <v>147</v>
      </c>
      <c r="B17" s="5">
        <v>44651</v>
      </c>
      <c r="C17" s="2" t="s">
        <v>68</v>
      </c>
      <c r="D17" s="2" t="s">
        <v>69</v>
      </c>
      <c r="E17" s="2" t="s">
        <v>94</v>
      </c>
      <c r="F17" s="2" t="s">
        <v>108</v>
      </c>
      <c r="G17" s="3">
        <v>8045</v>
      </c>
      <c r="H17" s="2" t="s">
        <v>108</v>
      </c>
      <c r="I17" s="4">
        <f>G17</f>
        <v>8045</v>
      </c>
      <c r="J17" s="2" t="s">
        <v>265</v>
      </c>
      <c r="K17" s="2" t="s">
        <v>97</v>
      </c>
      <c r="L17" s="2" t="s">
        <v>255</v>
      </c>
      <c r="M17" s="2" t="s">
        <v>256</v>
      </c>
      <c r="N17" s="2" t="s">
        <v>257</v>
      </c>
      <c r="O17" s="6" t="s">
        <v>258</v>
      </c>
      <c r="P17" s="2" t="s">
        <v>102</v>
      </c>
    </row>
    <row r="18" spans="1:16" ht="23">
      <c r="A18" s="2" t="s">
        <v>147</v>
      </c>
      <c r="B18" s="5">
        <v>44651</v>
      </c>
      <c r="C18" s="2" t="s">
        <v>68</v>
      </c>
      <c r="D18" s="2" t="s">
        <v>69</v>
      </c>
      <c r="E18" s="2" t="s">
        <v>94</v>
      </c>
      <c r="F18" s="2" t="s">
        <v>122</v>
      </c>
      <c r="G18" s="3">
        <v>4745</v>
      </c>
      <c r="H18" s="2" t="s">
        <v>122</v>
      </c>
      <c r="I18" s="4">
        <f>G18</f>
        <v>4745</v>
      </c>
      <c r="J18" s="2" t="s">
        <v>266</v>
      </c>
      <c r="K18" s="2" t="s">
        <v>97</v>
      </c>
      <c r="L18" s="2" t="s">
        <v>255</v>
      </c>
      <c r="M18" s="2" t="s">
        <v>256</v>
      </c>
      <c r="N18" s="2" t="s">
        <v>257</v>
      </c>
      <c r="O18" s="6" t="s">
        <v>258</v>
      </c>
      <c r="P18" s="2" t="s">
        <v>102</v>
      </c>
    </row>
    <row r="19" spans="1:16" ht="23">
      <c r="A19" s="2" t="s">
        <v>147</v>
      </c>
      <c r="B19" s="5">
        <v>44651</v>
      </c>
      <c r="C19" s="2" t="s">
        <v>68</v>
      </c>
      <c r="D19" s="2" t="s">
        <v>69</v>
      </c>
      <c r="E19" s="2" t="s">
        <v>115</v>
      </c>
      <c r="F19" s="2" t="s">
        <v>267</v>
      </c>
      <c r="G19" s="3"/>
      <c r="H19" s="2" t="s">
        <v>95</v>
      </c>
      <c r="I19" s="4">
        <f>G13+G14</f>
        <v>42010</v>
      </c>
      <c r="J19" s="2" t="s">
        <v>268</v>
      </c>
      <c r="K19" s="2" t="s">
        <v>97</v>
      </c>
      <c r="L19" s="2" t="s">
        <v>269</v>
      </c>
      <c r="M19" s="2" t="s">
        <v>256</v>
      </c>
      <c r="N19" s="2" t="s">
        <v>270</v>
      </c>
      <c r="O19" s="6" t="s">
        <v>258</v>
      </c>
      <c r="P19" s="2" t="s">
        <v>102</v>
      </c>
    </row>
    <row r="20" spans="1:16" ht="23">
      <c r="A20" s="2" t="s">
        <v>147</v>
      </c>
      <c r="B20" s="5">
        <v>44651</v>
      </c>
      <c r="C20" s="2" t="s">
        <v>68</v>
      </c>
      <c r="D20" s="2" t="s">
        <v>69</v>
      </c>
      <c r="E20" s="2" t="s">
        <v>141</v>
      </c>
      <c r="F20" s="2" t="s">
        <v>271</v>
      </c>
      <c r="G20" s="3"/>
      <c r="H20" s="2" t="s">
        <v>272</v>
      </c>
      <c r="I20" s="4">
        <f>G14+G15</f>
        <v>12210</v>
      </c>
      <c r="J20" s="2" t="s">
        <v>273</v>
      </c>
      <c r="K20" s="2" t="s">
        <v>97</v>
      </c>
      <c r="L20" s="2" t="s">
        <v>274</v>
      </c>
      <c r="M20" s="2" t="s">
        <v>256</v>
      </c>
      <c r="N20" s="2" t="s">
        <v>275</v>
      </c>
      <c r="O20" s="6" t="s">
        <v>258</v>
      </c>
      <c r="P20" s="2" t="s">
        <v>102</v>
      </c>
    </row>
    <row r="21" spans="1:16" ht="23">
      <c r="A21" s="2" t="s">
        <v>147</v>
      </c>
      <c r="B21" s="5">
        <v>44651</v>
      </c>
      <c r="C21" s="2" t="s">
        <v>68</v>
      </c>
      <c r="D21" s="2" t="s">
        <v>69</v>
      </c>
      <c r="E21" s="2" t="s">
        <v>94</v>
      </c>
      <c r="F21" s="2" t="s">
        <v>127</v>
      </c>
      <c r="G21" s="3">
        <v>191754</v>
      </c>
      <c r="H21" s="2" t="s">
        <v>127</v>
      </c>
      <c r="I21" s="4">
        <f t="shared" ref="I21:I26" si="0">G21</f>
        <v>191754</v>
      </c>
      <c r="J21" s="2" t="s">
        <v>128</v>
      </c>
      <c r="K21" s="2" t="s">
        <v>97</v>
      </c>
      <c r="L21" s="2" t="s">
        <v>219</v>
      </c>
      <c r="M21" s="2" t="s">
        <v>256</v>
      </c>
      <c r="N21" s="2" t="s">
        <v>276</v>
      </c>
      <c r="O21" s="6" t="s">
        <v>258</v>
      </c>
      <c r="P21" s="2" t="s">
        <v>102</v>
      </c>
    </row>
    <row r="22" spans="1:16" ht="23">
      <c r="A22" s="2" t="s">
        <v>147</v>
      </c>
      <c r="B22" s="5">
        <v>44651</v>
      </c>
      <c r="C22" s="2" t="s">
        <v>68</v>
      </c>
      <c r="D22" s="2" t="s">
        <v>69</v>
      </c>
      <c r="E22" s="2" t="s">
        <v>94</v>
      </c>
      <c r="F22" s="2" t="s">
        <v>277</v>
      </c>
      <c r="G22" s="3">
        <v>114621</v>
      </c>
      <c r="H22" s="2" t="s">
        <v>132</v>
      </c>
      <c r="I22" s="4">
        <f t="shared" si="0"/>
        <v>114621</v>
      </c>
      <c r="J22" s="2" t="s">
        <v>128</v>
      </c>
      <c r="K22" s="2" t="s">
        <v>97</v>
      </c>
      <c r="L22" s="2" t="s">
        <v>219</v>
      </c>
      <c r="M22" s="2" t="s">
        <v>256</v>
      </c>
      <c r="N22" s="2" t="s">
        <v>276</v>
      </c>
      <c r="O22" s="6" t="s">
        <v>258</v>
      </c>
      <c r="P22" s="2" t="s">
        <v>102</v>
      </c>
    </row>
    <row r="23" spans="1:16" ht="23">
      <c r="A23" s="2" t="s">
        <v>147</v>
      </c>
      <c r="B23" s="5">
        <v>44651</v>
      </c>
      <c r="C23" s="2" t="s">
        <v>68</v>
      </c>
      <c r="D23" s="2" t="s">
        <v>69</v>
      </c>
      <c r="E23" s="2" t="s">
        <v>94</v>
      </c>
      <c r="F23" s="2" t="s">
        <v>134</v>
      </c>
      <c r="G23" s="3">
        <v>48453</v>
      </c>
      <c r="H23" s="2" t="s">
        <v>134</v>
      </c>
      <c r="I23" s="4">
        <f t="shared" si="0"/>
        <v>48453</v>
      </c>
      <c r="J23" s="2" t="s">
        <v>128</v>
      </c>
      <c r="K23" s="2" t="s">
        <v>97</v>
      </c>
      <c r="L23" s="2" t="s">
        <v>219</v>
      </c>
      <c r="M23" s="2" t="s">
        <v>256</v>
      </c>
      <c r="N23" s="2" t="s">
        <v>276</v>
      </c>
      <c r="O23" s="6" t="s">
        <v>258</v>
      </c>
      <c r="P23" s="2" t="s">
        <v>102</v>
      </c>
    </row>
    <row r="24" spans="1:16" ht="23">
      <c r="A24" s="2" t="s">
        <v>147</v>
      </c>
      <c r="B24" s="5">
        <v>44651</v>
      </c>
      <c r="C24" s="2" t="s">
        <v>68</v>
      </c>
      <c r="D24" s="2" t="s">
        <v>69</v>
      </c>
      <c r="E24" s="2" t="s">
        <v>94</v>
      </c>
      <c r="F24" s="2" t="s">
        <v>135</v>
      </c>
      <c r="G24" s="3">
        <v>38327</v>
      </c>
      <c r="H24" s="2" t="s">
        <v>135</v>
      </c>
      <c r="I24" s="4">
        <f t="shared" si="0"/>
        <v>38327</v>
      </c>
      <c r="J24" s="2" t="s">
        <v>128</v>
      </c>
      <c r="K24" s="2" t="s">
        <v>97</v>
      </c>
      <c r="L24" s="2" t="s">
        <v>219</v>
      </c>
      <c r="M24" s="2" t="s">
        <v>256</v>
      </c>
      <c r="N24" s="2" t="s">
        <v>276</v>
      </c>
      <c r="O24" s="6" t="s">
        <v>258</v>
      </c>
      <c r="P24" s="2" t="s">
        <v>102</v>
      </c>
    </row>
    <row r="25" spans="1:16" ht="23">
      <c r="A25" s="2" t="s">
        <v>147</v>
      </c>
      <c r="B25" s="5">
        <v>44651</v>
      </c>
      <c r="C25" s="2" t="s">
        <v>68</v>
      </c>
      <c r="D25" s="2" t="s">
        <v>69</v>
      </c>
      <c r="E25" s="2" t="s">
        <v>94</v>
      </c>
      <c r="F25" s="2" t="s">
        <v>136</v>
      </c>
      <c r="G25" s="3">
        <v>39949</v>
      </c>
      <c r="H25" s="2" t="s">
        <v>136</v>
      </c>
      <c r="I25" s="4">
        <f t="shared" si="0"/>
        <v>39949</v>
      </c>
      <c r="J25" s="2" t="s">
        <v>128</v>
      </c>
      <c r="K25" s="2" t="s">
        <v>97</v>
      </c>
      <c r="L25" s="2" t="s">
        <v>219</v>
      </c>
      <c r="M25" s="2" t="s">
        <v>256</v>
      </c>
      <c r="N25" s="2" t="s">
        <v>276</v>
      </c>
      <c r="O25" s="6" t="s">
        <v>258</v>
      </c>
      <c r="P25" s="2" t="s">
        <v>102</v>
      </c>
    </row>
    <row r="26" spans="1:16" ht="23">
      <c r="A26" s="2" t="s">
        <v>147</v>
      </c>
      <c r="B26" s="5">
        <v>44651</v>
      </c>
      <c r="C26" s="2" t="s">
        <v>68</v>
      </c>
      <c r="D26" s="2" t="s">
        <v>69</v>
      </c>
      <c r="E26" s="2" t="s">
        <v>94</v>
      </c>
      <c r="F26" s="2" t="s">
        <v>179</v>
      </c>
      <c r="G26" s="3">
        <v>4604</v>
      </c>
      <c r="H26" s="2" t="s">
        <v>179</v>
      </c>
      <c r="I26" s="4">
        <f t="shared" si="0"/>
        <v>4604</v>
      </c>
      <c r="J26" s="2" t="s">
        <v>128</v>
      </c>
      <c r="K26" s="2" t="s">
        <v>97</v>
      </c>
      <c r="L26" s="2" t="s">
        <v>219</v>
      </c>
      <c r="M26" s="2" t="s">
        <v>256</v>
      </c>
      <c r="N26" s="2" t="s">
        <v>276</v>
      </c>
      <c r="O26" s="6" t="s">
        <v>258</v>
      </c>
      <c r="P26" s="2" t="s">
        <v>102</v>
      </c>
    </row>
    <row r="27" spans="1:16" ht="23">
      <c r="A27" s="2" t="s">
        <v>150</v>
      </c>
      <c r="B27" s="5">
        <v>45016</v>
      </c>
      <c r="C27" s="2" t="s">
        <v>68</v>
      </c>
      <c r="D27" s="2" t="s">
        <v>69</v>
      </c>
      <c r="E27" s="2" t="s">
        <v>94</v>
      </c>
      <c r="F27" s="2" t="s">
        <v>252</v>
      </c>
      <c r="G27" s="3">
        <v>41198</v>
      </c>
      <c r="H27" s="2" t="s">
        <v>253</v>
      </c>
      <c r="I27" s="4"/>
      <c r="J27" s="2" t="s">
        <v>254</v>
      </c>
      <c r="K27" s="2" t="s">
        <v>97</v>
      </c>
      <c r="L27" s="2" t="s">
        <v>255</v>
      </c>
      <c r="M27" s="2" t="s">
        <v>278</v>
      </c>
      <c r="N27" s="2" t="s">
        <v>257</v>
      </c>
      <c r="O27" s="6" t="s">
        <v>279</v>
      </c>
      <c r="P27" s="2" t="s">
        <v>102</v>
      </c>
    </row>
    <row r="28" spans="1:16" ht="23">
      <c r="A28" s="2" t="s">
        <v>150</v>
      </c>
      <c r="B28" s="5">
        <v>45016</v>
      </c>
      <c r="C28" s="2" t="s">
        <v>68</v>
      </c>
      <c r="D28" s="2" t="s">
        <v>69</v>
      </c>
      <c r="E28" s="2" t="s">
        <v>94</v>
      </c>
      <c r="F28" s="2" t="s">
        <v>259</v>
      </c>
      <c r="G28" s="3">
        <v>9104</v>
      </c>
      <c r="H28" s="2" t="s">
        <v>260</v>
      </c>
      <c r="I28" s="4"/>
      <c r="J28" s="2" t="s">
        <v>261</v>
      </c>
      <c r="K28" s="2" t="s">
        <v>97</v>
      </c>
      <c r="L28" s="2" t="s">
        <v>255</v>
      </c>
      <c r="M28" s="2" t="s">
        <v>278</v>
      </c>
      <c r="N28" s="2" t="s">
        <v>257</v>
      </c>
      <c r="O28" s="6" t="s">
        <v>279</v>
      </c>
      <c r="P28" s="2" t="s">
        <v>102</v>
      </c>
    </row>
    <row r="29" spans="1:16" ht="23">
      <c r="A29" s="2" t="s">
        <v>150</v>
      </c>
      <c r="B29" s="5">
        <v>45016</v>
      </c>
      <c r="C29" s="2" t="s">
        <v>68</v>
      </c>
      <c r="D29" s="2" t="s">
        <v>69</v>
      </c>
      <c r="E29" s="2" t="s">
        <v>94</v>
      </c>
      <c r="F29" s="2" t="s">
        <v>262</v>
      </c>
      <c r="G29" s="3">
        <v>5831</v>
      </c>
      <c r="H29" s="2" t="s">
        <v>117</v>
      </c>
      <c r="I29" s="4">
        <f>G29</f>
        <v>5831</v>
      </c>
      <c r="J29" s="2" t="s">
        <v>263</v>
      </c>
      <c r="K29" s="2" t="s">
        <v>97</v>
      </c>
      <c r="L29" s="2" t="s">
        <v>255</v>
      </c>
      <c r="M29" s="2" t="s">
        <v>278</v>
      </c>
      <c r="N29" s="2" t="s">
        <v>257</v>
      </c>
      <c r="O29" s="6" t="s">
        <v>279</v>
      </c>
      <c r="P29" s="2" t="s">
        <v>102</v>
      </c>
    </row>
    <row r="30" spans="1:16" ht="23">
      <c r="A30" s="2" t="s">
        <v>150</v>
      </c>
      <c r="B30" s="5">
        <v>45016</v>
      </c>
      <c r="C30" s="2" t="s">
        <v>68</v>
      </c>
      <c r="D30" s="2" t="s">
        <v>69</v>
      </c>
      <c r="E30" s="2" t="s">
        <v>94</v>
      </c>
      <c r="F30" s="2" t="s">
        <v>161</v>
      </c>
      <c r="G30" s="3">
        <v>28</v>
      </c>
      <c r="H30" s="2" t="s">
        <v>161</v>
      </c>
      <c r="I30" s="4">
        <f>G30</f>
        <v>28</v>
      </c>
      <c r="J30" s="2" t="s">
        <v>264</v>
      </c>
      <c r="K30" s="2" t="s">
        <v>97</v>
      </c>
      <c r="L30" s="2" t="s">
        <v>255</v>
      </c>
      <c r="M30" s="2" t="s">
        <v>278</v>
      </c>
      <c r="N30" s="2" t="s">
        <v>257</v>
      </c>
      <c r="O30" s="6" t="s">
        <v>279</v>
      </c>
      <c r="P30" s="2" t="s">
        <v>102</v>
      </c>
    </row>
    <row r="31" spans="1:16" ht="23">
      <c r="A31" s="2" t="s">
        <v>150</v>
      </c>
      <c r="B31" s="5">
        <v>45016</v>
      </c>
      <c r="C31" s="2" t="s">
        <v>68</v>
      </c>
      <c r="D31" s="2" t="s">
        <v>69</v>
      </c>
      <c r="E31" s="2" t="s">
        <v>94</v>
      </c>
      <c r="F31" s="2" t="s">
        <v>108</v>
      </c>
      <c r="G31" s="3">
        <v>10515</v>
      </c>
      <c r="H31" s="2" t="s">
        <v>108</v>
      </c>
      <c r="I31" s="4">
        <f>G31</f>
        <v>10515</v>
      </c>
      <c r="J31" s="2" t="s">
        <v>265</v>
      </c>
      <c r="K31" s="2" t="s">
        <v>97</v>
      </c>
      <c r="L31" s="2" t="s">
        <v>255</v>
      </c>
      <c r="M31" s="2" t="s">
        <v>278</v>
      </c>
      <c r="N31" s="2" t="s">
        <v>257</v>
      </c>
      <c r="O31" s="6" t="s">
        <v>279</v>
      </c>
      <c r="P31" s="2" t="s">
        <v>102</v>
      </c>
    </row>
    <row r="32" spans="1:16" ht="23">
      <c r="A32" s="2" t="s">
        <v>150</v>
      </c>
      <c r="B32" s="5">
        <v>45016</v>
      </c>
      <c r="C32" s="2" t="s">
        <v>68</v>
      </c>
      <c r="D32" s="2" t="s">
        <v>69</v>
      </c>
      <c r="E32" s="2" t="s">
        <v>94</v>
      </c>
      <c r="F32" s="2" t="s">
        <v>122</v>
      </c>
      <c r="G32" s="3">
        <v>4846</v>
      </c>
      <c r="H32" s="2" t="s">
        <v>122</v>
      </c>
      <c r="I32" s="4">
        <f>G32</f>
        <v>4846</v>
      </c>
      <c r="J32" s="2" t="s">
        <v>266</v>
      </c>
      <c r="K32" s="2" t="s">
        <v>97</v>
      </c>
      <c r="L32" s="2" t="s">
        <v>255</v>
      </c>
      <c r="M32" s="2" t="s">
        <v>278</v>
      </c>
      <c r="N32" s="2" t="s">
        <v>257</v>
      </c>
      <c r="O32" s="6" t="s">
        <v>279</v>
      </c>
      <c r="P32" s="2" t="s">
        <v>102</v>
      </c>
    </row>
    <row r="33" spans="1:16" ht="23">
      <c r="A33" s="2" t="s">
        <v>150</v>
      </c>
      <c r="B33" s="5">
        <v>45016</v>
      </c>
      <c r="C33" s="2" t="s">
        <v>68</v>
      </c>
      <c r="D33" s="2" t="s">
        <v>69</v>
      </c>
      <c r="E33" s="2" t="s">
        <v>115</v>
      </c>
      <c r="F33" s="2" t="s">
        <v>267</v>
      </c>
      <c r="G33" s="3"/>
      <c r="H33" s="2" t="s">
        <v>95</v>
      </c>
      <c r="I33" s="4">
        <f>G27+G28</f>
        <v>50302</v>
      </c>
      <c r="J33" s="2" t="s">
        <v>268</v>
      </c>
      <c r="K33" s="2" t="s">
        <v>97</v>
      </c>
      <c r="L33" s="2" t="s">
        <v>269</v>
      </c>
      <c r="M33" s="2" t="s">
        <v>278</v>
      </c>
      <c r="N33" s="2" t="s">
        <v>270</v>
      </c>
      <c r="O33" s="6" t="s">
        <v>279</v>
      </c>
      <c r="P33" s="2" t="s">
        <v>102</v>
      </c>
    </row>
    <row r="34" spans="1:16" ht="23">
      <c r="A34" s="2" t="s">
        <v>150</v>
      </c>
      <c r="B34" s="5">
        <v>45016</v>
      </c>
      <c r="C34" s="2" t="s">
        <v>68</v>
      </c>
      <c r="D34" s="2" t="s">
        <v>69</v>
      </c>
      <c r="E34" s="2" t="s">
        <v>141</v>
      </c>
      <c r="F34" s="2" t="s">
        <v>271</v>
      </c>
      <c r="G34" s="3"/>
      <c r="H34" s="2" t="s">
        <v>272</v>
      </c>
      <c r="I34" s="4">
        <f>G28+G29</f>
        <v>14935</v>
      </c>
      <c r="J34" s="2" t="s">
        <v>273</v>
      </c>
      <c r="K34" s="2" t="s">
        <v>97</v>
      </c>
      <c r="L34" s="2" t="s">
        <v>274</v>
      </c>
      <c r="M34" s="2" t="s">
        <v>278</v>
      </c>
      <c r="N34" s="2" t="s">
        <v>275</v>
      </c>
      <c r="O34" s="6" t="s">
        <v>279</v>
      </c>
      <c r="P34" s="2" t="s">
        <v>102</v>
      </c>
    </row>
    <row r="35" spans="1:16" ht="23">
      <c r="A35" s="2" t="s">
        <v>150</v>
      </c>
      <c r="B35" s="5">
        <v>45016</v>
      </c>
      <c r="C35" s="2" t="s">
        <v>68</v>
      </c>
      <c r="D35" s="2" t="s">
        <v>69</v>
      </c>
      <c r="E35" s="2" t="s">
        <v>94</v>
      </c>
      <c r="F35" s="2" t="s">
        <v>127</v>
      </c>
      <c r="G35" s="3">
        <v>225458</v>
      </c>
      <c r="H35" s="2" t="s">
        <v>127</v>
      </c>
      <c r="I35" s="4">
        <f t="shared" ref="I35:I40" si="1">G35</f>
        <v>225458</v>
      </c>
      <c r="J35" s="2" t="s">
        <v>128</v>
      </c>
      <c r="K35" s="2" t="s">
        <v>97</v>
      </c>
      <c r="L35" s="2" t="s">
        <v>219</v>
      </c>
      <c r="M35" s="2" t="s">
        <v>278</v>
      </c>
      <c r="N35" s="2" t="s">
        <v>276</v>
      </c>
      <c r="O35" s="6" t="s">
        <v>279</v>
      </c>
      <c r="P35" s="2" t="s">
        <v>102</v>
      </c>
    </row>
    <row r="36" spans="1:16" ht="23">
      <c r="A36" s="2" t="s">
        <v>150</v>
      </c>
      <c r="B36" s="5">
        <v>45016</v>
      </c>
      <c r="C36" s="2" t="s">
        <v>68</v>
      </c>
      <c r="D36" s="2" t="s">
        <v>69</v>
      </c>
      <c r="E36" s="2" t="s">
        <v>94</v>
      </c>
      <c r="F36" s="2" t="s">
        <v>277</v>
      </c>
      <c r="G36" s="3">
        <v>136268</v>
      </c>
      <c r="H36" s="2" t="s">
        <v>132</v>
      </c>
      <c r="I36" s="4">
        <f t="shared" si="1"/>
        <v>136268</v>
      </c>
      <c r="J36" s="2" t="s">
        <v>128</v>
      </c>
      <c r="K36" s="2" t="s">
        <v>97</v>
      </c>
      <c r="L36" s="2" t="s">
        <v>219</v>
      </c>
      <c r="M36" s="2" t="s">
        <v>278</v>
      </c>
      <c r="N36" s="2" t="s">
        <v>276</v>
      </c>
      <c r="O36" s="6" t="s">
        <v>279</v>
      </c>
      <c r="P36" s="2" t="s">
        <v>102</v>
      </c>
    </row>
    <row r="37" spans="1:16" ht="23">
      <c r="A37" s="2" t="s">
        <v>150</v>
      </c>
      <c r="B37" s="5">
        <v>45016</v>
      </c>
      <c r="C37" s="2" t="s">
        <v>68</v>
      </c>
      <c r="D37" s="2" t="s">
        <v>69</v>
      </c>
      <c r="E37" s="2" t="s">
        <v>94</v>
      </c>
      <c r="F37" s="2" t="s">
        <v>134</v>
      </c>
      <c r="G37" s="3">
        <v>54237</v>
      </c>
      <c r="H37" s="2" t="s">
        <v>134</v>
      </c>
      <c r="I37" s="4">
        <f t="shared" si="1"/>
        <v>54237</v>
      </c>
      <c r="J37" s="2" t="s">
        <v>128</v>
      </c>
      <c r="K37" s="2" t="s">
        <v>97</v>
      </c>
      <c r="L37" s="2" t="s">
        <v>219</v>
      </c>
      <c r="M37" s="2" t="s">
        <v>278</v>
      </c>
      <c r="N37" s="2" t="s">
        <v>276</v>
      </c>
      <c r="O37" s="6" t="s">
        <v>279</v>
      </c>
      <c r="P37" s="2" t="s">
        <v>102</v>
      </c>
    </row>
    <row r="38" spans="1:16" ht="23">
      <c r="A38" s="2" t="s">
        <v>150</v>
      </c>
      <c r="B38" s="5">
        <v>45016</v>
      </c>
      <c r="C38" s="2" t="s">
        <v>68</v>
      </c>
      <c r="D38" s="2" t="s">
        <v>69</v>
      </c>
      <c r="E38" s="2" t="s">
        <v>94</v>
      </c>
      <c r="F38" s="2" t="s">
        <v>135</v>
      </c>
      <c r="G38" s="3">
        <v>42147</v>
      </c>
      <c r="H38" s="2" t="s">
        <v>135</v>
      </c>
      <c r="I38" s="4">
        <f t="shared" si="1"/>
        <v>42147</v>
      </c>
      <c r="J38" s="2" t="s">
        <v>128</v>
      </c>
      <c r="K38" s="2" t="s">
        <v>97</v>
      </c>
      <c r="L38" s="2" t="s">
        <v>219</v>
      </c>
      <c r="M38" s="2" t="s">
        <v>278</v>
      </c>
      <c r="N38" s="2" t="s">
        <v>276</v>
      </c>
      <c r="O38" s="6" t="s">
        <v>279</v>
      </c>
      <c r="P38" s="2" t="s">
        <v>102</v>
      </c>
    </row>
    <row r="39" spans="1:16" ht="23">
      <c r="A39" s="2" t="s">
        <v>150</v>
      </c>
      <c r="B39" s="5">
        <v>45016</v>
      </c>
      <c r="C39" s="2" t="s">
        <v>68</v>
      </c>
      <c r="D39" s="2" t="s">
        <v>69</v>
      </c>
      <c r="E39" s="2" t="s">
        <v>94</v>
      </c>
      <c r="F39" s="2" t="s">
        <v>136</v>
      </c>
      <c r="G39" s="3">
        <v>41965</v>
      </c>
      <c r="H39" s="2" t="s">
        <v>136</v>
      </c>
      <c r="I39" s="4">
        <f t="shared" si="1"/>
        <v>41965</v>
      </c>
      <c r="J39" s="2" t="s">
        <v>128</v>
      </c>
      <c r="K39" s="2" t="s">
        <v>97</v>
      </c>
      <c r="L39" s="2" t="s">
        <v>219</v>
      </c>
      <c r="M39" s="2" t="s">
        <v>278</v>
      </c>
      <c r="N39" s="2" t="s">
        <v>276</v>
      </c>
      <c r="O39" s="6" t="s">
        <v>279</v>
      </c>
      <c r="P39" s="2" t="s">
        <v>102</v>
      </c>
    </row>
    <row r="40" spans="1:16" ht="23">
      <c r="A40" s="2" t="s">
        <v>150</v>
      </c>
      <c r="B40" s="5">
        <v>45016</v>
      </c>
      <c r="C40" s="2" t="s">
        <v>68</v>
      </c>
      <c r="D40" s="2" t="s">
        <v>69</v>
      </c>
      <c r="E40" s="2" t="s">
        <v>94</v>
      </c>
      <c r="F40" s="2" t="s">
        <v>179</v>
      </c>
      <c r="G40" s="3">
        <v>5022</v>
      </c>
      <c r="H40" s="2" t="s">
        <v>179</v>
      </c>
      <c r="I40" s="4">
        <f t="shared" si="1"/>
        <v>5022</v>
      </c>
      <c r="J40" s="2" t="s">
        <v>128</v>
      </c>
      <c r="K40" s="2" t="s">
        <v>97</v>
      </c>
      <c r="L40" s="2" t="s">
        <v>219</v>
      </c>
      <c r="M40" s="2" t="s">
        <v>278</v>
      </c>
      <c r="N40" s="2" t="s">
        <v>276</v>
      </c>
      <c r="O40" s="6" t="s">
        <v>279</v>
      </c>
      <c r="P40" s="2" t="s">
        <v>102</v>
      </c>
    </row>
    <row r="41" spans="1:16" ht="23">
      <c r="A41" s="2" t="s">
        <v>153</v>
      </c>
      <c r="B41" s="5">
        <v>45382</v>
      </c>
      <c r="C41" s="2" t="s">
        <v>68</v>
      </c>
      <c r="D41" s="2" t="s">
        <v>69</v>
      </c>
      <c r="E41" s="2" t="s">
        <v>94</v>
      </c>
      <c r="F41" s="2" t="s">
        <v>252</v>
      </c>
      <c r="G41" s="3">
        <v>44561</v>
      </c>
      <c r="H41" s="2" t="s">
        <v>253</v>
      </c>
      <c r="I41" s="4"/>
      <c r="J41" s="2" t="s">
        <v>254</v>
      </c>
      <c r="K41" s="2" t="s">
        <v>97</v>
      </c>
      <c r="L41" s="2" t="s">
        <v>255</v>
      </c>
      <c r="M41" s="2" t="s">
        <v>280</v>
      </c>
      <c r="N41" s="2" t="s">
        <v>257</v>
      </c>
      <c r="O41" s="6" t="s">
        <v>281</v>
      </c>
      <c r="P41" s="2" t="s">
        <v>102</v>
      </c>
    </row>
    <row r="42" spans="1:16" ht="23">
      <c r="A42" s="2" t="s">
        <v>153</v>
      </c>
      <c r="B42" s="5">
        <v>45382</v>
      </c>
      <c r="C42" s="2" t="s">
        <v>68</v>
      </c>
      <c r="D42" s="2" t="s">
        <v>69</v>
      </c>
      <c r="E42" s="2" t="s">
        <v>94</v>
      </c>
      <c r="F42" s="2" t="s">
        <v>259</v>
      </c>
      <c r="G42" s="3">
        <v>9159</v>
      </c>
      <c r="H42" s="2" t="s">
        <v>260</v>
      </c>
      <c r="I42" s="4"/>
      <c r="J42" s="2" t="s">
        <v>261</v>
      </c>
      <c r="K42" s="2" t="s">
        <v>97</v>
      </c>
      <c r="L42" s="2" t="s">
        <v>255</v>
      </c>
      <c r="M42" s="2" t="s">
        <v>280</v>
      </c>
      <c r="N42" s="2" t="s">
        <v>257</v>
      </c>
      <c r="O42" s="6" t="s">
        <v>281</v>
      </c>
      <c r="P42" s="2" t="s">
        <v>102</v>
      </c>
    </row>
    <row r="43" spans="1:16" ht="23">
      <c r="A43" s="2" t="s">
        <v>153</v>
      </c>
      <c r="B43" s="5">
        <v>45382</v>
      </c>
      <c r="C43" s="2" t="s">
        <v>68</v>
      </c>
      <c r="D43" s="2" t="s">
        <v>69</v>
      </c>
      <c r="E43" s="2" t="s">
        <v>94</v>
      </c>
      <c r="F43" s="2" t="s">
        <v>262</v>
      </c>
      <c r="G43" s="3">
        <v>6141</v>
      </c>
      <c r="H43" s="2" t="s">
        <v>117</v>
      </c>
      <c r="I43" s="4">
        <f>G43</f>
        <v>6141</v>
      </c>
      <c r="J43" s="2" t="s">
        <v>263</v>
      </c>
      <c r="K43" s="2" t="s">
        <v>97</v>
      </c>
      <c r="L43" s="2" t="s">
        <v>255</v>
      </c>
      <c r="M43" s="2" t="s">
        <v>280</v>
      </c>
      <c r="N43" s="2" t="s">
        <v>257</v>
      </c>
      <c r="O43" s="6" t="s">
        <v>281</v>
      </c>
      <c r="P43" s="2" t="s">
        <v>102</v>
      </c>
    </row>
    <row r="44" spans="1:16" ht="23">
      <c r="A44" s="2" t="s">
        <v>153</v>
      </c>
      <c r="B44" s="5">
        <v>45382</v>
      </c>
      <c r="C44" s="2" t="s">
        <v>68</v>
      </c>
      <c r="D44" s="2" t="s">
        <v>69</v>
      </c>
      <c r="E44" s="2" t="s">
        <v>94</v>
      </c>
      <c r="F44" s="2" t="s">
        <v>161</v>
      </c>
      <c r="G44" s="3">
        <v>28</v>
      </c>
      <c r="H44" s="2" t="s">
        <v>161</v>
      </c>
      <c r="I44" s="4">
        <f>G44</f>
        <v>28</v>
      </c>
      <c r="J44" s="2" t="s">
        <v>264</v>
      </c>
      <c r="K44" s="2" t="s">
        <v>97</v>
      </c>
      <c r="L44" s="2" t="s">
        <v>255</v>
      </c>
      <c r="M44" s="2" t="s">
        <v>280</v>
      </c>
      <c r="N44" s="2" t="s">
        <v>257</v>
      </c>
      <c r="O44" s="6" t="s">
        <v>281</v>
      </c>
      <c r="P44" s="2" t="s">
        <v>102</v>
      </c>
    </row>
    <row r="45" spans="1:16" ht="23">
      <c r="A45" s="2" t="s">
        <v>153</v>
      </c>
      <c r="B45" s="5">
        <v>45382</v>
      </c>
      <c r="C45" s="2" t="s">
        <v>68</v>
      </c>
      <c r="D45" s="2" t="s">
        <v>69</v>
      </c>
      <c r="E45" s="2" t="s">
        <v>94</v>
      </c>
      <c r="F45" s="2" t="s">
        <v>108</v>
      </c>
      <c r="G45" s="3">
        <v>9981</v>
      </c>
      <c r="H45" s="2" t="s">
        <v>108</v>
      </c>
      <c r="I45" s="4">
        <f>G45</f>
        <v>9981</v>
      </c>
      <c r="J45" s="2" t="s">
        <v>265</v>
      </c>
      <c r="K45" s="2" t="s">
        <v>97</v>
      </c>
      <c r="L45" s="2" t="s">
        <v>255</v>
      </c>
      <c r="M45" s="2" t="s">
        <v>280</v>
      </c>
      <c r="N45" s="2" t="s">
        <v>257</v>
      </c>
      <c r="O45" s="6" t="s">
        <v>281</v>
      </c>
      <c r="P45" s="2" t="s">
        <v>102</v>
      </c>
    </row>
    <row r="46" spans="1:16" ht="23">
      <c r="A46" s="2" t="s">
        <v>153</v>
      </c>
      <c r="B46" s="5">
        <v>45382</v>
      </c>
      <c r="C46" s="2" t="s">
        <v>68</v>
      </c>
      <c r="D46" s="2" t="s">
        <v>69</v>
      </c>
      <c r="E46" s="2" t="s">
        <v>94</v>
      </c>
      <c r="F46" s="2" t="s">
        <v>122</v>
      </c>
      <c r="G46" s="3">
        <v>4122</v>
      </c>
      <c r="H46" s="2" t="s">
        <v>122</v>
      </c>
      <c r="I46" s="4">
        <f>G46</f>
        <v>4122</v>
      </c>
      <c r="J46" s="2" t="s">
        <v>266</v>
      </c>
      <c r="K46" s="2" t="s">
        <v>97</v>
      </c>
      <c r="L46" s="2" t="s">
        <v>255</v>
      </c>
      <c r="M46" s="2" t="s">
        <v>280</v>
      </c>
      <c r="N46" s="2" t="s">
        <v>257</v>
      </c>
      <c r="O46" s="6" t="s">
        <v>281</v>
      </c>
      <c r="P46" s="2" t="s">
        <v>102</v>
      </c>
    </row>
    <row r="47" spans="1:16" ht="23">
      <c r="A47" s="2" t="s">
        <v>153</v>
      </c>
      <c r="B47" s="5">
        <v>45382</v>
      </c>
      <c r="C47" s="2" t="s">
        <v>68</v>
      </c>
      <c r="D47" s="2" t="s">
        <v>69</v>
      </c>
      <c r="E47" s="2" t="s">
        <v>115</v>
      </c>
      <c r="F47" s="2" t="s">
        <v>267</v>
      </c>
      <c r="G47" s="3"/>
      <c r="H47" s="2" t="s">
        <v>95</v>
      </c>
      <c r="I47" s="4">
        <f>G41+G42</f>
        <v>53720</v>
      </c>
      <c r="J47" s="2" t="s">
        <v>268</v>
      </c>
      <c r="K47" s="2" t="s">
        <v>97</v>
      </c>
      <c r="L47" s="2" t="s">
        <v>269</v>
      </c>
      <c r="M47" s="2" t="s">
        <v>280</v>
      </c>
      <c r="N47" s="2" t="s">
        <v>270</v>
      </c>
      <c r="O47" s="6" t="s">
        <v>281</v>
      </c>
      <c r="P47" s="2" t="s">
        <v>102</v>
      </c>
    </row>
    <row r="48" spans="1:16" ht="23">
      <c r="A48" s="2" t="s">
        <v>153</v>
      </c>
      <c r="B48" s="5">
        <v>45382</v>
      </c>
      <c r="C48" s="2" t="s">
        <v>68</v>
      </c>
      <c r="D48" s="2" t="s">
        <v>69</v>
      </c>
      <c r="E48" s="2" t="s">
        <v>141</v>
      </c>
      <c r="F48" s="2" t="s">
        <v>271</v>
      </c>
      <c r="G48" s="3"/>
      <c r="H48" s="2" t="s">
        <v>272</v>
      </c>
      <c r="I48" s="4">
        <f>G42+G43</f>
        <v>15300</v>
      </c>
      <c r="J48" s="2" t="s">
        <v>273</v>
      </c>
      <c r="K48" s="2" t="s">
        <v>97</v>
      </c>
      <c r="L48" s="2" t="s">
        <v>274</v>
      </c>
      <c r="M48" s="2" t="s">
        <v>280</v>
      </c>
      <c r="N48" s="2" t="s">
        <v>275</v>
      </c>
      <c r="O48" s="6" t="s">
        <v>281</v>
      </c>
      <c r="P48" s="2" t="s">
        <v>102</v>
      </c>
    </row>
    <row r="49" spans="1:16" ht="23">
      <c r="A49" s="2" t="s">
        <v>153</v>
      </c>
      <c r="B49" s="5">
        <v>45382</v>
      </c>
      <c r="C49" s="2" t="s">
        <v>68</v>
      </c>
      <c r="D49" s="2" t="s">
        <v>69</v>
      </c>
      <c r="E49" s="2" t="s">
        <v>94</v>
      </c>
      <c r="F49" s="2" t="s">
        <v>127</v>
      </c>
      <c r="G49" s="3">
        <v>240893</v>
      </c>
      <c r="H49" s="2" t="s">
        <v>127</v>
      </c>
      <c r="I49" s="4">
        <f t="shared" ref="I49:I54" si="2">G49</f>
        <v>240893</v>
      </c>
      <c r="J49" s="2" t="s">
        <v>128</v>
      </c>
      <c r="K49" s="2" t="s">
        <v>97</v>
      </c>
      <c r="L49" s="2" t="s">
        <v>219</v>
      </c>
      <c r="M49" s="2" t="s">
        <v>280</v>
      </c>
      <c r="N49" s="2" t="s">
        <v>276</v>
      </c>
      <c r="O49" s="6" t="s">
        <v>281</v>
      </c>
      <c r="P49" s="2" t="s">
        <v>102</v>
      </c>
    </row>
    <row r="50" spans="1:16" ht="23">
      <c r="A50" s="2" t="s">
        <v>153</v>
      </c>
      <c r="B50" s="5">
        <v>45382</v>
      </c>
      <c r="C50" s="2" t="s">
        <v>68</v>
      </c>
      <c r="D50" s="2" t="s">
        <v>69</v>
      </c>
      <c r="E50" s="2" t="s">
        <v>94</v>
      </c>
      <c r="F50" s="2" t="s">
        <v>277</v>
      </c>
      <c r="G50" s="3">
        <v>143595</v>
      </c>
      <c r="H50" s="2" t="s">
        <v>132</v>
      </c>
      <c r="I50" s="4">
        <f t="shared" si="2"/>
        <v>143595</v>
      </c>
      <c r="J50" s="2" t="s">
        <v>128</v>
      </c>
      <c r="K50" s="2" t="s">
        <v>97</v>
      </c>
      <c r="L50" s="2" t="s">
        <v>219</v>
      </c>
      <c r="M50" s="2" t="s">
        <v>280</v>
      </c>
      <c r="N50" s="2" t="s">
        <v>276</v>
      </c>
      <c r="O50" s="6" t="s">
        <v>281</v>
      </c>
      <c r="P50" s="2" t="s">
        <v>102</v>
      </c>
    </row>
    <row r="51" spans="1:16" ht="23">
      <c r="A51" s="2" t="s">
        <v>153</v>
      </c>
      <c r="B51" s="5">
        <v>45382</v>
      </c>
      <c r="C51" s="2" t="s">
        <v>68</v>
      </c>
      <c r="D51" s="2" t="s">
        <v>69</v>
      </c>
      <c r="E51" s="2" t="s">
        <v>94</v>
      </c>
      <c r="F51" s="2" t="s">
        <v>134</v>
      </c>
      <c r="G51" s="3">
        <v>58353</v>
      </c>
      <c r="H51" s="2" t="s">
        <v>134</v>
      </c>
      <c r="I51" s="4">
        <f t="shared" si="2"/>
        <v>58353</v>
      </c>
      <c r="J51" s="2" t="s">
        <v>128</v>
      </c>
      <c r="K51" s="2" t="s">
        <v>97</v>
      </c>
      <c r="L51" s="2" t="s">
        <v>219</v>
      </c>
      <c r="M51" s="2" t="s">
        <v>280</v>
      </c>
      <c r="N51" s="2" t="s">
        <v>276</v>
      </c>
      <c r="O51" s="6" t="s">
        <v>281</v>
      </c>
      <c r="P51" s="2" t="s">
        <v>102</v>
      </c>
    </row>
    <row r="52" spans="1:16" ht="23">
      <c r="A52" s="2" t="s">
        <v>153</v>
      </c>
      <c r="B52" s="5">
        <v>45382</v>
      </c>
      <c r="C52" s="2" t="s">
        <v>68</v>
      </c>
      <c r="D52" s="2" t="s">
        <v>69</v>
      </c>
      <c r="E52" s="2" t="s">
        <v>94</v>
      </c>
      <c r="F52" s="2" t="s">
        <v>135</v>
      </c>
      <c r="G52" s="3">
        <v>45908</v>
      </c>
      <c r="H52" s="2" t="s">
        <v>135</v>
      </c>
      <c r="I52" s="4">
        <f t="shared" si="2"/>
        <v>45908</v>
      </c>
      <c r="J52" s="2" t="s">
        <v>128</v>
      </c>
      <c r="K52" s="2" t="s">
        <v>97</v>
      </c>
      <c r="L52" s="2" t="s">
        <v>219</v>
      </c>
      <c r="M52" s="2" t="s">
        <v>280</v>
      </c>
      <c r="N52" s="2" t="s">
        <v>276</v>
      </c>
      <c r="O52" s="6" t="s">
        <v>281</v>
      </c>
      <c r="P52" s="2" t="s">
        <v>102</v>
      </c>
    </row>
    <row r="53" spans="1:16" ht="23">
      <c r="A53" s="2" t="s">
        <v>153</v>
      </c>
      <c r="B53" s="5">
        <v>45382</v>
      </c>
      <c r="C53" s="2" t="s">
        <v>68</v>
      </c>
      <c r="D53" s="2" t="s">
        <v>69</v>
      </c>
      <c r="E53" s="2" t="s">
        <v>94</v>
      </c>
      <c r="F53" s="2" t="s">
        <v>136</v>
      </c>
      <c r="G53" s="3">
        <v>44338</v>
      </c>
      <c r="H53" s="2" t="s">
        <v>136</v>
      </c>
      <c r="I53" s="4">
        <f t="shared" si="2"/>
        <v>44338</v>
      </c>
      <c r="J53" s="2" t="s">
        <v>128</v>
      </c>
      <c r="K53" s="2" t="s">
        <v>97</v>
      </c>
      <c r="L53" s="2" t="s">
        <v>219</v>
      </c>
      <c r="M53" s="2" t="s">
        <v>280</v>
      </c>
      <c r="N53" s="2" t="s">
        <v>276</v>
      </c>
      <c r="O53" s="6" t="s">
        <v>281</v>
      </c>
      <c r="P53" s="2" t="s">
        <v>102</v>
      </c>
    </row>
    <row r="54" spans="1:16" ht="23">
      <c r="A54" s="2" t="s">
        <v>153</v>
      </c>
      <c r="B54" s="5">
        <v>45382</v>
      </c>
      <c r="C54" s="2" t="s">
        <v>68</v>
      </c>
      <c r="D54" s="2" t="s">
        <v>69</v>
      </c>
      <c r="E54" s="2" t="s">
        <v>94</v>
      </c>
      <c r="F54" s="2" t="s">
        <v>179</v>
      </c>
      <c r="G54" s="3">
        <v>4985</v>
      </c>
      <c r="H54" s="2" t="s">
        <v>179</v>
      </c>
      <c r="I54" s="4">
        <f t="shared" si="2"/>
        <v>4985</v>
      </c>
      <c r="J54" s="2" t="s">
        <v>128</v>
      </c>
      <c r="K54" s="2" t="s">
        <v>97</v>
      </c>
      <c r="L54" s="2" t="s">
        <v>219</v>
      </c>
      <c r="M54" s="2" t="s">
        <v>280</v>
      </c>
      <c r="N54" s="2" t="s">
        <v>276</v>
      </c>
      <c r="O54" s="6" t="s">
        <v>281</v>
      </c>
      <c r="P54" s="2" t="s">
        <v>102</v>
      </c>
    </row>
    <row r="55" spans="1:16" ht="23">
      <c r="A55" s="2" t="s">
        <v>156</v>
      </c>
      <c r="B55" s="5">
        <v>45747</v>
      </c>
      <c r="C55" s="2" t="s">
        <v>68</v>
      </c>
      <c r="D55" s="2" t="s">
        <v>69</v>
      </c>
      <c r="E55" s="2" t="s">
        <v>94</v>
      </c>
      <c r="F55" s="2" t="s">
        <v>252</v>
      </c>
      <c r="G55" s="3">
        <v>50233</v>
      </c>
      <c r="H55" s="2" t="s">
        <v>253</v>
      </c>
      <c r="I55" s="4"/>
      <c r="J55" s="2" t="s">
        <v>254</v>
      </c>
      <c r="K55" s="2" t="s">
        <v>97</v>
      </c>
      <c r="L55" s="2" t="s">
        <v>255</v>
      </c>
      <c r="M55" s="2" t="s">
        <v>282</v>
      </c>
      <c r="N55" s="2" t="s">
        <v>257</v>
      </c>
      <c r="O55" s="6" t="s">
        <v>283</v>
      </c>
      <c r="P55" s="2" t="s">
        <v>102</v>
      </c>
    </row>
    <row r="56" spans="1:16" ht="23">
      <c r="A56" s="2" t="s">
        <v>156</v>
      </c>
      <c r="B56" s="5">
        <v>45747</v>
      </c>
      <c r="C56" s="2" t="s">
        <v>68</v>
      </c>
      <c r="D56" s="2" t="s">
        <v>69</v>
      </c>
      <c r="E56" s="2" t="s">
        <v>94</v>
      </c>
      <c r="F56" s="2" t="s">
        <v>259</v>
      </c>
      <c r="G56" s="3">
        <v>8942</v>
      </c>
      <c r="H56" s="2" t="s">
        <v>260</v>
      </c>
      <c r="I56" s="4"/>
      <c r="J56" s="2" t="s">
        <v>261</v>
      </c>
      <c r="K56" s="2" t="s">
        <v>97</v>
      </c>
      <c r="L56" s="2" t="s">
        <v>255</v>
      </c>
      <c r="M56" s="2" t="s">
        <v>282</v>
      </c>
      <c r="N56" s="2" t="s">
        <v>257</v>
      </c>
      <c r="O56" s="6" t="s">
        <v>283</v>
      </c>
      <c r="P56" s="2" t="s">
        <v>102</v>
      </c>
    </row>
    <row r="57" spans="1:16" ht="23">
      <c r="A57" s="2" t="s">
        <v>156</v>
      </c>
      <c r="B57" s="5">
        <v>45747</v>
      </c>
      <c r="C57" s="2" t="s">
        <v>68</v>
      </c>
      <c r="D57" s="2" t="s">
        <v>69</v>
      </c>
      <c r="E57" s="2" t="s">
        <v>94</v>
      </c>
      <c r="F57" s="2" t="s">
        <v>262</v>
      </c>
      <c r="G57" s="3">
        <v>6528</v>
      </c>
      <c r="H57" s="2" t="s">
        <v>117</v>
      </c>
      <c r="I57" s="4">
        <f>G57</f>
        <v>6528</v>
      </c>
      <c r="J57" s="2" t="s">
        <v>263</v>
      </c>
      <c r="K57" s="2" t="s">
        <v>97</v>
      </c>
      <c r="L57" s="2" t="s">
        <v>255</v>
      </c>
      <c r="M57" s="2" t="s">
        <v>282</v>
      </c>
      <c r="N57" s="2" t="s">
        <v>257</v>
      </c>
      <c r="O57" s="6" t="s">
        <v>283</v>
      </c>
      <c r="P57" s="2" t="s">
        <v>102</v>
      </c>
    </row>
    <row r="58" spans="1:16" ht="23">
      <c r="A58" s="2" t="s">
        <v>156</v>
      </c>
      <c r="B58" s="5">
        <v>45747</v>
      </c>
      <c r="C58" s="2" t="s">
        <v>68</v>
      </c>
      <c r="D58" s="2" t="s">
        <v>69</v>
      </c>
      <c r="E58" s="2" t="s">
        <v>94</v>
      </c>
      <c r="F58" s="2" t="s">
        <v>161</v>
      </c>
      <c r="G58" s="3">
        <v>21</v>
      </c>
      <c r="H58" s="2" t="s">
        <v>161</v>
      </c>
      <c r="I58" s="4">
        <f>G58</f>
        <v>21</v>
      </c>
      <c r="J58" s="2" t="s">
        <v>264</v>
      </c>
      <c r="K58" s="2" t="s">
        <v>97</v>
      </c>
      <c r="L58" s="2" t="s">
        <v>255</v>
      </c>
      <c r="M58" s="2" t="s">
        <v>282</v>
      </c>
      <c r="N58" s="2" t="s">
        <v>257</v>
      </c>
      <c r="O58" s="6" t="s">
        <v>283</v>
      </c>
      <c r="P58" s="2" t="s">
        <v>102</v>
      </c>
    </row>
    <row r="59" spans="1:16" ht="23">
      <c r="A59" s="2" t="s">
        <v>156</v>
      </c>
      <c r="B59" s="5">
        <v>45747</v>
      </c>
      <c r="C59" s="2" t="s">
        <v>68</v>
      </c>
      <c r="D59" s="2" t="s">
        <v>69</v>
      </c>
      <c r="E59" s="2" t="s">
        <v>94</v>
      </c>
      <c r="F59" s="2" t="s">
        <v>108</v>
      </c>
      <c r="G59" s="3">
        <v>13909</v>
      </c>
      <c r="H59" s="2" t="s">
        <v>108</v>
      </c>
      <c r="I59" s="4">
        <f>G59</f>
        <v>13909</v>
      </c>
      <c r="J59" s="2" t="s">
        <v>265</v>
      </c>
      <c r="K59" s="2" t="s">
        <v>97</v>
      </c>
      <c r="L59" s="2" t="s">
        <v>255</v>
      </c>
      <c r="M59" s="2" t="s">
        <v>282</v>
      </c>
      <c r="N59" s="2" t="s">
        <v>257</v>
      </c>
      <c r="O59" s="6" t="s">
        <v>283</v>
      </c>
      <c r="P59" s="2" t="s">
        <v>102</v>
      </c>
    </row>
    <row r="60" spans="1:16" ht="23">
      <c r="A60" s="2" t="s">
        <v>156</v>
      </c>
      <c r="B60" s="5">
        <v>45747</v>
      </c>
      <c r="C60" s="2" t="s">
        <v>68</v>
      </c>
      <c r="D60" s="2" t="s">
        <v>69</v>
      </c>
      <c r="E60" s="2" t="s">
        <v>94</v>
      </c>
      <c r="F60" s="2" t="s">
        <v>122</v>
      </c>
      <c r="G60" s="3">
        <v>4546</v>
      </c>
      <c r="H60" s="2" t="s">
        <v>122</v>
      </c>
      <c r="I60" s="4">
        <f>G60</f>
        <v>4546</v>
      </c>
      <c r="J60" s="2" t="s">
        <v>266</v>
      </c>
      <c r="K60" s="2" t="s">
        <v>97</v>
      </c>
      <c r="L60" s="2" t="s">
        <v>255</v>
      </c>
      <c r="M60" s="2" t="s">
        <v>282</v>
      </c>
      <c r="N60" s="2" t="s">
        <v>257</v>
      </c>
      <c r="O60" s="6" t="s">
        <v>283</v>
      </c>
      <c r="P60" s="2" t="s">
        <v>102</v>
      </c>
    </row>
    <row r="61" spans="1:16" ht="23">
      <c r="A61" s="2" t="s">
        <v>156</v>
      </c>
      <c r="B61" s="5">
        <v>45747</v>
      </c>
      <c r="C61" s="2" t="s">
        <v>68</v>
      </c>
      <c r="D61" s="2" t="s">
        <v>69</v>
      </c>
      <c r="E61" s="2" t="s">
        <v>115</v>
      </c>
      <c r="F61" s="2" t="s">
        <v>267</v>
      </c>
      <c r="G61" s="3"/>
      <c r="H61" s="2" t="s">
        <v>95</v>
      </c>
      <c r="I61" s="4">
        <f>G55+G56</f>
        <v>59175</v>
      </c>
      <c r="J61" s="2" t="s">
        <v>268</v>
      </c>
      <c r="K61" s="2" t="s">
        <v>97</v>
      </c>
      <c r="L61" s="2" t="s">
        <v>269</v>
      </c>
      <c r="M61" s="2" t="s">
        <v>282</v>
      </c>
      <c r="N61" s="2" t="s">
        <v>270</v>
      </c>
      <c r="O61" s="6" t="s">
        <v>283</v>
      </c>
      <c r="P61" s="2" t="s">
        <v>102</v>
      </c>
    </row>
    <row r="62" spans="1:16" ht="23">
      <c r="A62" s="2" t="s">
        <v>156</v>
      </c>
      <c r="B62" s="5">
        <v>45747</v>
      </c>
      <c r="C62" s="2" t="s">
        <v>68</v>
      </c>
      <c r="D62" s="2" t="s">
        <v>69</v>
      </c>
      <c r="E62" s="2" t="s">
        <v>141</v>
      </c>
      <c r="F62" s="2" t="s">
        <v>271</v>
      </c>
      <c r="G62" s="3"/>
      <c r="H62" s="2" t="s">
        <v>272</v>
      </c>
      <c r="I62" s="4">
        <f>G56+G57</f>
        <v>15470</v>
      </c>
      <c r="J62" s="2" t="s">
        <v>273</v>
      </c>
      <c r="K62" s="2" t="s">
        <v>97</v>
      </c>
      <c r="L62" s="2" t="s">
        <v>274</v>
      </c>
      <c r="M62" s="2" t="s">
        <v>282</v>
      </c>
      <c r="N62" s="2" t="s">
        <v>275</v>
      </c>
      <c r="O62" s="6" t="s">
        <v>283</v>
      </c>
      <c r="P62" s="2" t="s">
        <v>102</v>
      </c>
    </row>
    <row r="63" spans="1:16" ht="23">
      <c r="A63" s="2" t="s">
        <v>156</v>
      </c>
      <c r="B63" s="5">
        <v>45747</v>
      </c>
      <c r="C63" s="2" t="s">
        <v>68</v>
      </c>
      <c r="D63" s="2" t="s">
        <v>69</v>
      </c>
      <c r="E63" s="2" t="s">
        <v>94</v>
      </c>
      <c r="F63" s="2" t="s">
        <v>127</v>
      </c>
      <c r="G63" s="3">
        <v>255324</v>
      </c>
      <c r="H63" s="2" t="s">
        <v>127</v>
      </c>
      <c r="I63" s="4">
        <f t="shared" ref="I63:I68" si="3">G63</f>
        <v>255324</v>
      </c>
      <c r="J63" s="2" t="s">
        <v>128</v>
      </c>
      <c r="K63" s="2" t="s">
        <v>97</v>
      </c>
      <c r="L63" s="2" t="s">
        <v>219</v>
      </c>
      <c r="M63" s="2" t="s">
        <v>282</v>
      </c>
      <c r="N63" s="2" t="s">
        <v>276</v>
      </c>
      <c r="O63" s="6" t="s">
        <v>283</v>
      </c>
      <c r="P63" s="2" t="s">
        <v>102</v>
      </c>
    </row>
    <row r="64" spans="1:16" ht="23">
      <c r="A64" s="2" t="s">
        <v>156</v>
      </c>
      <c r="B64" s="5">
        <v>45747</v>
      </c>
      <c r="C64" s="2" t="s">
        <v>68</v>
      </c>
      <c r="D64" s="2" t="s">
        <v>69</v>
      </c>
      <c r="E64" s="2" t="s">
        <v>94</v>
      </c>
      <c r="F64" s="2" t="s">
        <v>277</v>
      </c>
      <c r="G64" s="3">
        <v>155994</v>
      </c>
      <c r="H64" s="2" t="s">
        <v>132</v>
      </c>
      <c r="I64" s="4">
        <f t="shared" si="3"/>
        <v>155994</v>
      </c>
      <c r="J64" s="2" t="s">
        <v>128</v>
      </c>
      <c r="K64" s="2" t="s">
        <v>97</v>
      </c>
      <c r="L64" s="2" t="s">
        <v>219</v>
      </c>
      <c r="M64" s="2" t="s">
        <v>282</v>
      </c>
      <c r="N64" s="2" t="s">
        <v>276</v>
      </c>
      <c r="O64" s="6" t="s">
        <v>283</v>
      </c>
      <c r="P64" s="2" t="s">
        <v>102</v>
      </c>
    </row>
    <row r="65" spans="1:16" ht="23">
      <c r="A65" s="2" t="s">
        <v>156</v>
      </c>
      <c r="B65" s="5">
        <v>45747</v>
      </c>
      <c r="C65" s="2" t="s">
        <v>68</v>
      </c>
      <c r="D65" s="2" t="s">
        <v>69</v>
      </c>
      <c r="E65" s="2" t="s">
        <v>94</v>
      </c>
      <c r="F65" s="2" t="s">
        <v>134</v>
      </c>
      <c r="G65" s="3">
        <v>62165</v>
      </c>
      <c r="H65" s="2" t="s">
        <v>134</v>
      </c>
      <c r="I65" s="4">
        <f t="shared" si="3"/>
        <v>62165</v>
      </c>
      <c r="J65" s="2" t="s">
        <v>128</v>
      </c>
      <c r="K65" s="2" t="s">
        <v>97</v>
      </c>
      <c r="L65" s="2" t="s">
        <v>219</v>
      </c>
      <c r="M65" s="2" t="s">
        <v>282</v>
      </c>
      <c r="N65" s="2" t="s">
        <v>276</v>
      </c>
      <c r="O65" s="6" t="s">
        <v>283</v>
      </c>
      <c r="P65" s="2" t="s">
        <v>102</v>
      </c>
    </row>
    <row r="66" spans="1:16" ht="23">
      <c r="A66" s="2" t="s">
        <v>156</v>
      </c>
      <c r="B66" s="5">
        <v>45747</v>
      </c>
      <c r="C66" s="2" t="s">
        <v>68</v>
      </c>
      <c r="D66" s="2" t="s">
        <v>69</v>
      </c>
      <c r="E66" s="2" t="s">
        <v>94</v>
      </c>
      <c r="F66" s="2" t="s">
        <v>135</v>
      </c>
      <c r="G66" s="3">
        <v>48553</v>
      </c>
      <c r="H66" s="2" t="s">
        <v>135</v>
      </c>
      <c r="I66" s="4">
        <f t="shared" si="3"/>
        <v>48553</v>
      </c>
      <c r="J66" s="2" t="s">
        <v>128</v>
      </c>
      <c r="K66" s="2" t="s">
        <v>97</v>
      </c>
      <c r="L66" s="2" t="s">
        <v>219</v>
      </c>
      <c r="M66" s="2" t="s">
        <v>282</v>
      </c>
      <c r="N66" s="2" t="s">
        <v>276</v>
      </c>
      <c r="O66" s="6" t="s">
        <v>283</v>
      </c>
      <c r="P66" s="2" t="s">
        <v>102</v>
      </c>
    </row>
    <row r="67" spans="1:16" ht="23">
      <c r="A67" s="2" t="s">
        <v>156</v>
      </c>
      <c r="B67" s="5">
        <v>45747</v>
      </c>
      <c r="C67" s="2" t="s">
        <v>68</v>
      </c>
      <c r="D67" s="2" t="s">
        <v>69</v>
      </c>
      <c r="E67" s="2" t="s">
        <v>94</v>
      </c>
      <c r="F67" s="2" t="s">
        <v>136</v>
      </c>
      <c r="G67" s="3">
        <v>48908</v>
      </c>
      <c r="H67" s="2" t="s">
        <v>136</v>
      </c>
      <c r="I67" s="4">
        <f t="shared" si="3"/>
        <v>48908</v>
      </c>
      <c r="J67" s="2" t="s">
        <v>128</v>
      </c>
      <c r="K67" s="2" t="s">
        <v>97</v>
      </c>
      <c r="L67" s="2" t="s">
        <v>219</v>
      </c>
      <c r="M67" s="2" t="s">
        <v>282</v>
      </c>
      <c r="N67" s="2" t="s">
        <v>276</v>
      </c>
      <c r="O67" s="6" t="s">
        <v>283</v>
      </c>
      <c r="P67" s="2" t="s">
        <v>102</v>
      </c>
    </row>
    <row r="68" spans="1:16" ht="23">
      <c r="A68" s="2" t="s">
        <v>156</v>
      </c>
      <c r="B68" s="5">
        <v>45747</v>
      </c>
      <c r="C68" s="2" t="s">
        <v>68</v>
      </c>
      <c r="D68" s="2" t="s">
        <v>69</v>
      </c>
      <c r="E68" s="2" t="s">
        <v>94</v>
      </c>
      <c r="F68" s="2" t="s">
        <v>179</v>
      </c>
      <c r="G68" s="3">
        <v>5242</v>
      </c>
      <c r="H68" s="2" t="s">
        <v>179</v>
      </c>
      <c r="I68" s="4">
        <f t="shared" si="3"/>
        <v>5242</v>
      </c>
      <c r="J68" s="2" t="s">
        <v>128</v>
      </c>
      <c r="K68" s="2" t="s">
        <v>97</v>
      </c>
      <c r="L68" s="2" t="s">
        <v>219</v>
      </c>
      <c r="M68" s="2" t="s">
        <v>282</v>
      </c>
      <c r="N68" s="2" t="s">
        <v>276</v>
      </c>
      <c r="O68" s="6" t="s">
        <v>283</v>
      </c>
      <c r="P68" s="2" t="s">
        <v>102</v>
      </c>
    </row>
    <row r="69" spans="1:16" ht="23">
      <c r="A69" s="2" t="s">
        <v>284</v>
      </c>
      <c r="B69" s="5">
        <v>46112</v>
      </c>
      <c r="C69" s="2" t="s">
        <v>68</v>
      </c>
      <c r="D69" s="2" t="s">
        <v>69</v>
      </c>
      <c r="E69" s="2" t="s">
        <v>94</v>
      </c>
      <c r="F69" s="2" t="s">
        <v>252</v>
      </c>
      <c r="G69" s="3">
        <v>57729</v>
      </c>
      <c r="H69" s="2" t="s">
        <v>253</v>
      </c>
      <c r="I69" s="4"/>
      <c r="J69" s="2" t="s">
        <v>254</v>
      </c>
      <c r="K69" s="2" t="s">
        <v>97</v>
      </c>
      <c r="L69" s="2" t="s">
        <v>255</v>
      </c>
      <c r="M69" s="2" t="s">
        <v>285</v>
      </c>
      <c r="N69" s="2" t="s">
        <v>257</v>
      </c>
      <c r="O69" s="6" t="s">
        <v>286</v>
      </c>
      <c r="P69" s="2" t="s">
        <v>102</v>
      </c>
    </row>
    <row r="70" spans="1:16" ht="23">
      <c r="A70" s="2" t="s">
        <v>284</v>
      </c>
      <c r="B70" s="5">
        <v>46112</v>
      </c>
      <c r="C70" s="2" t="s">
        <v>68</v>
      </c>
      <c r="D70" s="2" t="s">
        <v>69</v>
      </c>
      <c r="E70" s="2" t="s">
        <v>94</v>
      </c>
      <c r="F70" s="2" t="s">
        <v>259</v>
      </c>
      <c r="G70" s="3">
        <v>10198</v>
      </c>
      <c r="H70" s="2" t="s">
        <v>260</v>
      </c>
      <c r="I70" s="4"/>
      <c r="J70" s="2" t="s">
        <v>261</v>
      </c>
      <c r="K70" s="2" t="s">
        <v>97</v>
      </c>
      <c r="L70" s="2" t="s">
        <v>255</v>
      </c>
      <c r="M70" s="2" t="s">
        <v>285</v>
      </c>
      <c r="N70" s="2" t="s">
        <v>257</v>
      </c>
      <c r="O70" s="6" t="s">
        <v>286</v>
      </c>
      <c r="P70" s="2" t="s">
        <v>102</v>
      </c>
    </row>
    <row r="71" spans="1:16" ht="23">
      <c r="A71" s="2" t="s">
        <v>284</v>
      </c>
      <c r="B71" s="5">
        <v>46112</v>
      </c>
      <c r="C71" s="2" t="s">
        <v>68</v>
      </c>
      <c r="D71" s="2" t="s">
        <v>69</v>
      </c>
      <c r="E71" s="2" t="s">
        <v>94</v>
      </c>
      <c r="F71" s="2" t="s">
        <v>262</v>
      </c>
      <c r="G71" s="3">
        <v>7946</v>
      </c>
      <c r="H71" s="2" t="s">
        <v>117</v>
      </c>
      <c r="I71" s="4">
        <f>G71</f>
        <v>7946</v>
      </c>
      <c r="J71" s="2" t="s">
        <v>263</v>
      </c>
      <c r="K71" s="2" t="s">
        <v>97</v>
      </c>
      <c r="L71" s="2" t="s">
        <v>255</v>
      </c>
      <c r="M71" s="2" t="s">
        <v>285</v>
      </c>
      <c r="N71" s="2" t="s">
        <v>257</v>
      </c>
      <c r="O71" s="6" t="s">
        <v>286</v>
      </c>
      <c r="P71" s="2" t="s">
        <v>102</v>
      </c>
    </row>
    <row r="72" spans="1:16" ht="23">
      <c r="A72" s="2" t="s">
        <v>284</v>
      </c>
      <c r="B72" s="5">
        <v>46112</v>
      </c>
      <c r="C72" s="2" t="s">
        <v>68</v>
      </c>
      <c r="D72" s="2" t="s">
        <v>69</v>
      </c>
      <c r="E72" s="2" t="s">
        <v>94</v>
      </c>
      <c r="F72" s="2" t="s">
        <v>161</v>
      </c>
      <c r="G72" s="3">
        <v>29</v>
      </c>
      <c r="H72" s="2" t="s">
        <v>161</v>
      </c>
      <c r="I72" s="4">
        <f>G72</f>
        <v>29</v>
      </c>
      <c r="J72" s="2" t="s">
        <v>264</v>
      </c>
      <c r="K72" s="2" t="s">
        <v>97</v>
      </c>
      <c r="L72" s="2" t="s">
        <v>255</v>
      </c>
      <c r="M72" s="2" t="s">
        <v>285</v>
      </c>
      <c r="N72" s="2" t="s">
        <v>257</v>
      </c>
      <c r="O72" s="6" t="s">
        <v>286</v>
      </c>
      <c r="P72" s="2" t="s">
        <v>102</v>
      </c>
    </row>
    <row r="73" spans="1:16" ht="23">
      <c r="A73" s="2" t="s">
        <v>284</v>
      </c>
      <c r="B73" s="5">
        <v>46112</v>
      </c>
      <c r="C73" s="2" t="s">
        <v>68</v>
      </c>
      <c r="D73" s="2" t="s">
        <v>69</v>
      </c>
      <c r="E73" s="2" t="s">
        <v>94</v>
      </c>
      <c r="F73" s="2" t="s">
        <v>108</v>
      </c>
      <c r="G73" s="3">
        <v>14808</v>
      </c>
      <c r="H73" s="2" t="s">
        <v>108</v>
      </c>
      <c r="I73" s="4">
        <f>G73</f>
        <v>14808</v>
      </c>
      <c r="J73" s="2" t="s">
        <v>265</v>
      </c>
      <c r="K73" s="2" t="s">
        <v>97</v>
      </c>
      <c r="L73" s="2" t="s">
        <v>255</v>
      </c>
      <c r="M73" s="2" t="s">
        <v>285</v>
      </c>
      <c r="N73" s="2" t="s">
        <v>257</v>
      </c>
      <c r="O73" s="6" t="s">
        <v>286</v>
      </c>
      <c r="P73" s="2" t="s">
        <v>102</v>
      </c>
    </row>
    <row r="74" spans="1:16" ht="23">
      <c r="A74" s="2" t="s">
        <v>284</v>
      </c>
      <c r="B74" s="5">
        <v>46112</v>
      </c>
      <c r="C74" s="2" t="s">
        <v>68</v>
      </c>
      <c r="D74" s="2" t="s">
        <v>69</v>
      </c>
      <c r="E74" s="2" t="s">
        <v>94</v>
      </c>
      <c r="F74" s="2" t="s">
        <v>122</v>
      </c>
      <c r="G74" s="3">
        <v>5134</v>
      </c>
      <c r="H74" s="2" t="s">
        <v>122</v>
      </c>
      <c r="I74" s="4">
        <f>G74</f>
        <v>5134</v>
      </c>
      <c r="J74" s="2" t="s">
        <v>266</v>
      </c>
      <c r="K74" s="2" t="s">
        <v>97</v>
      </c>
      <c r="L74" s="2" t="s">
        <v>255</v>
      </c>
      <c r="M74" s="2" t="s">
        <v>285</v>
      </c>
      <c r="N74" s="2" t="s">
        <v>257</v>
      </c>
      <c r="O74" s="6" t="s">
        <v>286</v>
      </c>
      <c r="P74" s="2" t="s">
        <v>102</v>
      </c>
    </row>
    <row r="75" spans="1:16" ht="23">
      <c r="A75" s="2" t="s">
        <v>284</v>
      </c>
      <c r="B75" s="5">
        <v>46112</v>
      </c>
      <c r="C75" s="2" t="s">
        <v>68</v>
      </c>
      <c r="D75" s="2" t="s">
        <v>69</v>
      </c>
      <c r="E75" s="2" t="s">
        <v>115</v>
      </c>
      <c r="F75" s="2" t="s">
        <v>267</v>
      </c>
      <c r="G75" s="3"/>
      <c r="H75" s="2" t="s">
        <v>95</v>
      </c>
      <c r="I75" s="4">
        <f>G69+G70</f>
        <v>67927</v>
      </c>
      <c r="J75" s="2" t="s">
        <v>268</v>
      </c>
      <c r="K75" s="2" t="s">
        <v>97</v>
      </c>
      <c r="L75" s="2" t="s">
        <v>269</v>
      </c>
      <c r="M75" s="2" t="s">
        <v>285</v>
      </c>
      <c r="N75" s="2" t="s">
        <v>270</v>
      </c>
      <c r="O75" s="6" t="s">
        <v>286</v>
      </c>
      <c r="P75" s="2" t="s">
        <v>102</v>
      </c>
    </row>
    <row r="76" spans="1:16" ht="23">
      <c r="A76" s="2" t="s">
        <v>284</v>
      </c>
      <c r="B76" s="5">
        <v>46112</v>
      </c>
      <c r="C76" s="2" t="s">
        <v>68</v>
      </c>
      <c r="D76" s="2" t="s">
        <v>69</v>
      </c>
      <c r="E76" s="2" t="s">
        <v>141</v>
      </c>
      <c r="F76" s="2" t="s">
        <v>271</v>
      </c>
      <c r="G76" s="3"/>
      <c r="H76" s="2" t="s">
        <v>272</v>
      </c>
      <c r="I76" s="4">
        <f>G70+G71</f>
        <v>18144</v>
      </c>
      <c r="J76" s="2" t="s">
        <v>273</v>
      </c>
      <c r="K76" s="2" t="s">
        <v>97</v>
      </c>
      <c r="L76" s="2" t="s">
        <v>274</v>
      </c>
      <c r="M76" s="2" t="s">
        <v>285</v>
      </c>
      <c r="N76" s="2" t="s">
        <v>275</v>
      </c>
      <c r="O76" s="6" t="s">
        <v>286</v>
      </c>
      <c r="P76" s="2" t="s">
        <v>102</v>
      </c>
    </row>
    <row r="77" spans="1:16" ht="23">
      <c r="A77" s="2" t="s">
        <v>284</v>
      </c>
      <c r="B77" s="5">
        <v>46112</v>
      </c>
      <c r="C77" s="2" t="s">
        <v>68</v>
      </c>
      <c r="D77" s="2" t="s">
        <v>69</v>
      </c>
      <c r="E77" s="2" t="s">
        <v>94</v>
      </c>
      <c r="F77" s="2" t="s">
        <v>127</v>
      </c>
      <c r="G77" s="3">
        <v>267021</v>
      </c>
      <c r="H77" s="2" t="s">
        <v>127</v>
      </c>
      <c r="I77" s="4">
        <f>G77</f>
        <v>267021</v>
      </c>
      <c r="J77" s="2" t="s">
        <v>287</v>
      </c>
      <c r="K77" s="2" t="s">
        <v>97</v>
      </c>
      <c r="L77" s="2" t="s">
        <v>288</v>
      </c>
      <c r="M77" s="2" t="s">
        <v>285</v>
      </c>
      <c r="N77" s="2" t="s">
        <v>289</v>
      </c>
      <c r="O77" s="6" t="s">
        <v>286</v>
      </c>
      <c r="P77" s="2" t="s">
        <v>102</v>
      </c>
    </row>
    <row r="78" spans="1:16" ht="23">
      <c r="A78" s="2" t="s">
        <v>284</v>
      </c>
      <c r="B78" s="5">
        <v>46112</v>
      </c>
      <c r="C78" s="2" t="s">
        <v>68</v>
      </c>
      <c r="D78" s="2" t="s">
        <v>69</v>
      </c>
      <c r="E78" s="2" t="s">
        <v>94</v>
      </c>
      <c r="F78" s="2" t="s">
        <v>277</v>
      </c>
      <c r="G78" s="3">
        <v>159989</v>
      </c>
      <c r="H78" s="2" t="s">
        <v>132</v>
      </c>
      <c r="I78" s="4">
        <f>G78</f>
        <v>159989</v>
      </c>
      <c r="J78" s="2" t="s">
        <v>287</v>
      </c>
      <c r="K78" s="2" t="s">
        <v>97</v>
      </c>
      <c r="L78" s="2" t="s">
        <v>288</v>
      </c>
      <c r="M78" s="2" t="s">
        <v>285</v>
      </c>
      <c r="N78" s="2" t="s">
        <v>289</v>
      </c>
      <c r="O78" s="6" t="s">
        <v>286</v>
      </c>
      <c r="P78" s="2" t="s">
        <v>102</v>
      </c>
    </row>
    <row r="79" spans="1:16" ht="23">
      <c r="A79" s="2" t="s">
        <v>284</v>
      </c>
      <c r="B79" s="5">
        <v>46112</v>
      </c>
      <c r="C79" s="2" t="s">
        <v>68</v>
      </c>
      <c r="D79" s="2" t="s">
        <v>69</v>
      </c>
      <c r="E79" s="2" t="s">
        <v>94</v>
      </c>
      <c r="F79" s="2" t="s">
        <v>290</v>
      </c>
      <c r="G79" s="3">
        <v>66838</v>
      </c>
      <c r="H79" s="2" t="s">
        <v>291</v>
      </c>
      <c r="I79" s="4"/>
      <c r="J79" s="2" t="s">
        <v>287</v>
      </c>
      <c r="K79" s="2" t="s">
        <v>97</v>
      </c>
      <c r="L79" s="2" t="s">
        <v>288</v>
      </c>
      <c r="M79" s="2" t="s">
        <v>285</v>
      </c>
      <c r="N79" s="2" t="s">
        <v>289</v>
      </c>
      <c r="O79" s="6" t="s">
        <v>286</v>
      </c>
      <c r="P79" s="2" t="s">
        <v>102</v>
      </c>
    </row>
    <row r="80" spans="1:16" ht="23">
      <c r="A80" s="2" t="s">
        <v>284</v>
      </c>
      <c r="B80" s="5">
        <v>46112</v>
      </c>
      <c r="C80" s="2" t="s">
        <v>68</v>
      </c>
      <c r="D80" s="2" t="s">
        <v>69</v>
      </c>
      <c r="E80" s="2" t="s">
        <v>94</v>
      </c>
      <c r="F80" s="2" t="s">
        <v>292</v>
      </c>
      <c r="G80" s="3">
        <v>4526</v>
      </c>
      <c r="H80" s="2" t="s">
        <v>291</v>
      </c>
      <c r="I80" s="4"/>
      <c r="J80" s="2" t="s">
        <v>287</v>
      </c>
      <c r="K80" s="2" t="s">
        <v>97</v>
      </c>
      <c r="L80" s="2" t="s">
        <v>288</v>
      </c>
      <c r="M80" s="2" t="s">
        <v>285</v>
      </c>
      <c r="N80" s="2" t="s">
        <v>289</v>
      </c>
      <c r="O80" s="6" t="s">
        <v>286</v>
      </c>
      <c r="P80" s="2" t="s">
        <v>102</v>
      </c>
    </row>
    <row r="81" spans="1:16" ht="23">
      <c r="A81" s="2" t="s">
        <v>284</v>
      </c>
      <c r="B81" s="5">
        <v>46112</v>
      </c>
      <c r="C81" s="2" t="s">
        <v>68</v>
      </c>
      <c r="D81" s="2" t="s">
        <v>69</v>
      </c>
      <c r="E81" s="2" t="s">
        <v>94</v>
      </c>
      <c r="F81" s="2" t="s">
        <v>135</v>
      </c>
      <c r="G81" s="3">
        <v>49210</v>
      </c>
      <c r="H81" s="2" t="s">
        <v>135</v>
      </c>
      <c r="I81" s="4">
        <f>G81</f>
        <v>49210</v>
      </c>
      <c r="J81" s="2" t="s">
        <v>287</v>
      </c>
      <c r="K81" s="2" t="s">
        <v>97</v>
      </c>
      <c r="L81" s="2" t="s">
        <v>288</v>
      </c>
      <c r="M81" s="2" t="s">
        <v>285</v>
      </c>
      <c r="N81" s="2" t="s">
        <v>289</v>
      </c>
      <c r="O81" s="6" t="s">
        <v>286</v>
      </c>
      <c r="P81" s="2" t="s">
        <v>102</v>
      </c>
    </row>
    <row r="82" spans="1:16" ht="23">
      <c r="A82" s="2" t="s">
        <v>284</v>
      </c>
      <c r="B82" s="5">
        <v>46112</v>
      </c>
      <c r="C82" s="2" t="s">
        <v>68</v>
      </c>
      <c r="D82" s="2" t="s">
        <v>69</v>
      </c>
      <c r="E82" s="2" t="s">
        <v>94</v>
      </c>
      <c r="F82" s="2" t="s">
        <v>136</v>
      </c>
      <c r="G82" s="3">
        <v>52094</v>
      </c>
      <c r="H82" s="2" t="s">
        <v>136</v>
      </c>
      <c r="I82" s="4">
        <f>G82</f>
        <v>52094</v>
      </c>
      <c r="J82" s="2" t="s">
        <v>287</v>
      </c>
      <c r="K82" s="2" t="s">
        <v>97</v>
      </c>
      <c r="L82" s="2" t="s">
        <v>288</v>
      </c>
      <c r="M82" s="2" t="s">
        <v>285</v>
      </c>
      <c r="N82" s="2" t="s">
        <v>289</v>
      </c>
      <c r="O82" s="6" t="s">
        <v>286</v>
      </c>
      <c r="P82" s="2" t="s">
        <v>102</v>
      </c>
    </row>
    <row r="83" spans="1:16" ht="23">
      <c r="A83" s="2" t="s">
        <v>284</v>
      </c>
      <c r="B83" s="5">
        <v>46112</v>
      </c>
      <c r="C83" s="2" t="s">
        <v>68</v>
      </c>
      <c r="D83" s="2" t="s">
        <v>69</v>
      </c>
      <c r="E83" s="2" t="s">
        <v>94</v>
      </c>
      <c r="F83" s="2" t="s">
        <v>179</v>
      </c>
      <c r="G83" s="3">
        <v>5560</v>
      </c>
      <c r="H83" s="2" t="s">
        <v>179</v>
      </c>
      <c r="I83" s="4">
        <f>G83</f>
        <v>5560</v>
      </c>
      <c r="J83" s="2" t="s">
        <v>287</v>
      </c>
      <c r="K83" s="2" t="s">
        <v>97</v>
      </c>
      <c r="L83" s="2" t="s">
        <v>288</v>
      </c>
      <c r="M83" s="2" t="s">
        <v>285</v>
      </c>
      <c r="N83" s="2" t="s">
        <v>289</v>
      </c>
      <c r="O83" s="6" t="s">
        <v>286</v>
      </c>
      <c r="P83" s="2" t="s">
        <v>102</v>
      </c>
    </row>
    <row r="84" spans="1:16" ht="23">
      <c r="A84" s="2" t="s">
        <v>284</v>
      </c>
      <c r="B84" s="5">
        <v>46112</v>
      </c>
      <c r="C84" s="2" t="s">
        <v>68</v>
      </c>
      <c r="D84" s="2" t="s">
        <v>69</v>
      </c>
      <c r="E84" s="2" t="s">
        <v>141</v>
      </c>
      <c r="F84" s="2" t="s">
        <v>293</v>
      </c>
      <c r="G84" s="3"/>
      <c r="H84" s="2" t="s">
        <v>134</v>
      </c>
      <c r="I84" s="4">
        <f>G79-G80</f>
        <v>62312</v>
      </c>
      <c r="J84" s="2" t="s">
        <v>294</v>
      </c>
      <c r="K84" s="2" t="s">
        <v>97</v>
      </c>
      <c r="L84" s="2" t="s">
        <v>295</v>
      </c>
      <c r="M84" s="2" t="s">
        <v>285</v>
      </c>
      <c r="N84" s="2" t="s">
        <v>296</v>
      </c>
      <c r="O84" s="6" t="s">
        <v>286</v>
      </c>
      <c r="P84" s="2" t="s">
        <v>102</v>
      </c>
    </row>
  </sheetData>
  <mergeCells count="2">
    <mergeCell ref="A1:P1"/>
    <mergeCell ref="A2:P2"/>
  </mergeCells>
  <conditionalFormatting sqref="K5:K84">
    <cfRule type="expression" dxfId="18" priority="1">
      <formula>K5="Yes"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>
      <selection sqref="A1:H1"/>
    </sheetView>
  </sheetViews>
  <sheetFormatPr defaultRowHeight="14"/>
  <cols>
    <col min="1" max="1" width="14" customWidth="1"/>
    <col min="2" max="2" width="38" customWidth="1"/>
    <col min="3" max="3" width="25" customWidth="1"/>
    <col min="4" max="4" width="35" customWidth="1"/>
    <col min="5" max="5" width="15" customWidth="1"/>
    <col min="6" max="6" width="43" customWidth="1"/>
    <col min="7" max="7" width="25" customWidth="1"/>
    <col min="8" max="8" width="32" customWidth="1"/>
  </cols>
  <sheetData>
    <row r="1" spans="1:8" ht="17.399999999999999" customHeight="1">
      <c r="A1" s="13" t="s">
        <v>297</v>
      </c>
      <c r="B1" s="13"/>
      <c r="C1" s="13"/>
      <c r="D1" s="13"/>
      <c r="E1" s="13"/>
      <c r="F1" s="13"/>
      <c r="G1" s="13"/>
      <c r="H1" s="13"/>
    </row>
    <row r="2" spans="1:8" ht="16" customHeight="1">
      <c r="A2" s="14" t="s">
        <v>298</v>
      </c>
      <c r="B2" s="14"/>
      <c r="C2" s="14"/>
      <c r="D2" s="14"/>
      <c r="E2" s="14"/>
      <c r="F2" s="14"/>
      <c r="G2" s="14"/>
      <c r="H2" s="14"/>
    </row>
    <row r="4" spans="1:8" ht="20" customHeight="1">
      <c r="A4" s="1" t="s">
        <v>299</v>
      </c>
      <c r="B4" s="1" t="s">
        <v>300</v>
      </c>
      <c r="C4" s="1" t="s">
        <v>301</v>
      </c>
      <c r="D4" s="1" t="s">
        <v>302</v>
      </c>
      <c r="E4" s="1" t="s">
        <v>303</v>
      </c>
      <c r="F4" s="1" t="s">
        <v>304</v>
      </c>
      <c r="G4" s="1" t="s">
        <v>305</v>
      </c>
      <c r="H4" s="1" t="s">
        <v>306</v>
      </c>
    </row>
    <row r="5" spans="1:8">
      <c r="A5" s="2" t="s">
        <v>42</v>
      </c>
      <c r="B5" s="2" t="s">
        <v>307</v>
      </c>
      <c r="C5" s="2" t="s">
        <v>117</v>
      </c>
      <c r="D5" s="2" t="s">
        <v>308</v>
      </c>
      <c r="E5" s="2" t="s">
        <v>190</v>
      </c>
      <c r="F5" s="2" t="s">
        <v>309</v>
      </c>
      <c r="G5" s="2" t="s">
        <v>310</v>
      </c>
      <c r="H5" s="2" t="s">
        <v>311</v>
      </c>
    </row>
    <row r="6" spans="1:8" ht="23">
      <c r="A6" s="2" t="s">
        <v>42</v>
      </c>
      <c r="B6" s="2" t="s">
        <v>312</v>
      </c>
      <c r="C6" s="2" t="s">
        <v>122</v>
      </c>
      <c r="D6" s="2" t="s">
        <v>313</v>
      </c>
      <c r="E6" s="2" t="s">
        <v>190</v>
      </c>
      <c r="F6" s="2" t="s">
        <v>314</v>
      </c>
      <c r="G6" s="2" t="s">
        <v>310</v>
      </c>
      <c r="H6" s="2" t="s">
        <v>311</v>
      </c>
    </row>
    <row r="7" spans="1:8" ht="23">
      <c r="A7" s="2" t="s">
        <v>42</v>
      </c>
      <c r="B7" s="2" t="s">
        <v>144</v>
      </c>
      <c r="C7" s="2" t="s">
        <v>143</v>
      </c>
      <c r="D7" s="2" t="s">
        <v>315</v>
      </c>
      <c r="E7" s="2" t="s">
        <v>190</v>
      </c>
      <c r="F7" s="2" t="s">
        <v>316</v>
      </c>
      <c r="G7" s="2" t="s">
        <v>310</v>
      </c>
      <c r="H7" s="2" t="s">
        <v>311</v>
      </c>
    </row>
    <row r="8" spans="1:8" ht="23">
      <c r="A8" s="2" t="s">
        <v>52</v>
      </c>
      <c r="B8" s="2" t="s">
        <v>317</v>
      </c>
      <c r="C8" s="2" t="s">
        <v>108</v>
      </c>
      <c r="D8" s="2" t="s">
        <v>318</v>
      </c>
      <c r="E8" s="2" t="s">
        <v>97</v>
      </c>
      <c r="F8" s="2" t="s">
        <v>319</v>
      </c>
      <c r="G8" s="2" t="s">
        <v>320</v>
      </c>
      <c r="H8" s="2" t="s">
        <v>311</v>
      </c>
    </row>
    <row r="9" spans="1:8" ht="23">
      <c r="A9" s="2" t="s">
        <v>52</v>
      </c>
      <c r="B9" s="2" t="s">
        <v>321</v>
      </c>
      <c r="C9" s="2" t="s">
        <v>179</v>
      </c>
      <c r="D9" s="2" t="s">
        <v>322</v>
      </c>
      <c r="E9" s="2" t="s">
        <v>97</v>
      </c>
      <c r="F9" s="2" t="s">
        <v>323</v>
      </c>
      <c r="G9" s="2" t="s">
        <v>310</v>
      </c>
      <c r="H9" s="2" t="s">
        <v>324</v>
      </c>
    </row>
    <row r="10" spans="1:8">
      <c r="A10" s="2" t="s">
        <v>60</v>
      </c>
      <c r="B10" s="2" t="s">
        <v>208</v>
      </c>
      <c r="C10" s="2" t="s">
        <v>117</v>
      </c>
      <c r="D10" s="2" t="s">
        <v>325</v>
      </c>
      <c r="E10" s="2" t="s">
        <v>97</v>
      </c>
      <c r="F10" s="2" t="s">
        <v>326</v>
      </c>
      <c r="G10" s="2" t="s">
        <v>310</v>
      </c>
      <c r="H10" s="2" t="s">
        <v>311</v>
      </c>
    </row>
    <row r="11" spans="1:8">
      <c r="A11" s="2" t="s">
        <v>60</v>
      </c>
      <c r="B11" s="2" t="s">
        <v>211</v>
      </c>
      <c r="C11" s="2" t="s">
        <v>122</v>
      </c>
      <c r="D11" s="2" t="s">
        <v>325</v>
      </c>
      <c r="E11" s="2" t="s">
        <v>97</v>
      </c>
      <c r="F11" s="2" t="s">
        <v>327</v>
      </c>
      <c r="G11" s="2" t="s">
        <v>328</v>
      </c>
      <c r="H11" s="2" t="s">
        <v>311</v>
      </c>
    </row>
    <row r="12" spans="1:8">
      <c r="A12" s="2" t="s">
        <v>60</v>
      </c>
      <c r="B12" s="2" t="s">
        <v>329</v>
      </c>
      <c r="C12" s="2" t="s">
        <v>108</v>
      </c>
      <c r="D12" s="2" t="s">
        <v>330</v>
      </c>
      <c r="E12" s="2" t="s">
        <v>97</v>
      </c>
      <c r="F12" s="2" t="s">
        <v>331</v>
      </c>
      <c r="G12" s="2" t="s">
        <v>332</v>
      </c>
      <c r="H12" s="2" t="s">
        <v>333</v>
      </c>
    </row>
    <row r="13" spans="1:8">
      <c r="A13" s="2" t="s">
        <v>60</v>
      </c>
      <c r="B13" s="2" t="s">
        <v>235</v>
      </c>
      <c r="C13" s="2" t="s">
        <v>134</v>
      </c>
      <c r="D13" s="2" t="s">
        <v>334</v>
      </c>
      <c r="E13" s="2" t="s">
        <v>190</v>
      </c>
      <c r="F13" s="2" t="s">
        <v>335</v>
      </c>
      <c r="G13" s="2" t="s">
        <v>310</v>
      </c>
      <c r="H13" s="2" t="s">
        <v>336</v>
      </c>
    </row>
    <row r="14" spans="1:8">
      <c r="A14" s="2" t="s">
        <v>60</v>
      </c>
      <c r="B14" s="2" t="s">
        <v>239</v>
      </c>
      <c r="C14" s="2" t="s">
        <v>137</v>
      </c>
      <c r="D14" s="2" t="s">
        <v>315</v>
      </c>
      <c r="E14" s="2" t="s">
        <v>190</v>
      </c>
      <c r="F14" s="2" t="s">
        <v>337</v>
      </c>
      <c r="G14" s="2" t="s">
        <v>310</v>
      </c>
      <c r="H14" s="2" t="s">
        <v>336</v>
      </c>
    </row>
    <row r="15" spans="1:8">
      <c r="A15" s="2" t="s">
        <v>60</v>
      </c>
      <c r="B15" s="2" t="s">
        <v>338</v>
      </c>
      <c r="C15" s="2" t="s">
        <v>143</v>
      </c>
      <c r="D15" s="2" t="s">
        <v>315</v>
      </c>
      <c r="E15" s="2" t="s">
        <v>190</v>
      </c>
      <c r="F15" s="2" t="s">
        <v>339</v>
      </c>
      <c r="G15" s="2" t="s">
        <v>310</v>
      </c>
      <c r="H15" s="2" t="s">
        <v>336</v>
      </c>
    </row>
    <row r="16" spans="1:8" ht="23">
      <c r="A16" s="2" t="s">
        <v>66</v>
      </c>
      <c r="B16" s="2" t="s">
        <v>340</v>
      </c>
      <c r="C16" s="2" t="s">
        <v>95</v>
      </c>
      <c r="D16" s="2" t="s">
        <v>341</v>
      </c>
      <c r="E16" s="2" t="s">
        <v>190</v>
      </c>
      <c r="F16" s="2" t="s">
        <v>342</v>
      </c>
      <c r="G16" s="2" t="s">
        <v>343</v>
      </c>
      <c r="H16" s="2" t="s">
        <v>344</v>
      </c>
    </row>
    <row r="17" spans="1:8" ht="23">
      <c r="A17" s="2" t="s">
        <v>66</v>
      </c>
      <c r="B17" s="2" t="s">
        <v>345</v>
      </c>
      <c r="C17" s="2" t="s">
        <v>117</v>
      </c>
      <c r="D17" s="2" t="s">
        <v>346</v>
      </c>
      <c r="E17" s="2" t="s">
        <v>97</v>
      </c>
      <c r="F17" s="2" t="s">
        <v>347</v>
      </c>
      <c r="G17" s="2" t="s">
        <v>348</v>
      </c>
      <c r="H17" s="2" t="s">
        <v>349</v>
      </c>
    </row>
    <row r="18" spans="1:8">
      <c r="A18" s="2" t="s">
        <v>66</v>
      </c>
      <c r="B18" s="2" t="s">
        <v>273</v>
      </c>
      <c r="C18" s="2" t="s">
        <v>350</v>
      </c>
      <c r="D18" s="2" t="s">
        <v>351</v>
      </c>
      <c r="E18" s="2" t="s">
        <v>190</v>
      </c>
      <c r="F18" s="2" t="s">
        <v>352</v>
      </c>
      <c r="G18" s="2" t="s">
        <v>353</v>
      </c>
      <c r="H18" s="2" t="s">
        <v>354</v>
      </c>
    </row>
    <row r="19" spans="1:8" ht="23">
      <c r="A19" s="2" t="s">
        <v>66</v>
      </c>
      <c r="B19" s="2" t="s">
        <v>355</v>
      </c>
      <c r="C19" s="2" t="s">
        <v>134</v>
      </c>
      <c r="D19" s="2" t="s">
        <v>356</v>
      </c>
      <c r="E19" s="2" t="s">
        <v>190</v>
      </c>
      <c r="F19" s="2" t="s">
        <v>357</v>
      </c>
      <c r="G19" s="2" t="s">
        <v>310</v>
      </c>
      <c r="H19" s="2" t="s">
        <v>336</v>
      </c>
    </row>
  </sheetData>
  <mergeCells count="2">
    <mergeCell ref="A1:H1"/>
    <mergeCell ref="A2:H2"/>
  </mergeCells>
  <conditionalFormatting sqref="H5:H19">
    <cfRule type="expression" dxfId="17" priority="1">
      <formula>ISNUMBER(SEARCH("RECONSIDERATION",H5))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workbookViewId="0">
      <selection sqref="A1:H1"/>
    </sheetView>
  </sheetViews>
  <sheetFormatPr defaultRowHeight="14"/>
  <cols>
    <col min="1" max="2" width="14" customWidth="1"/>
    <col min="3" max="3" width="48" customWidth="1"/>
    <col min="4" max="4" width="16" customWidth="1"/>
    <col min="5" max="5" width="12" customWidth="1"/>
    <col min="6" max="6" width="40" customWidth="1"/>
    <col min="7" max="7" width="48" customWidth="1"/>
    <col min="8" max="8" width="52" customWidth="1"/>
  </cols>
  <sheetData>
    <row r="1" spans="1:8" ht="17.399999999999999" customHeight="1">
      <c r="A1" s="13" t="s">
        <v>358</v>
      </c>
      <c r="B1" s="13"/>
      <c r="C1" s="13"/>
      <c r="D1" s="13"/>
      <c r="E1" s="13"/>
      <c r="F1" s="13"/>
      <c r="G1" s="13"/>
      <c r="H1" s="13"/>
    </row>
    <row r="2" spans="1:8" ht="16" customHeight="1">
      <c r="A2" s="14" t="s">
        <v>359</v>
      </c>
      <c r="B2" s="14"/>
      <c r="C2" s="14"/>
      <c r="D2" s="14"/>
      <c r="E2" s="14"/>
      <c r="F2" s="14"/>
      <c r="G2" s="14"/>
      <c r="H2" s="14"/>
    </row>
    <row r="4" spans="1:8" ht="20" customHeight="1">
      <c r="A4" s="1" t="s">
        <v>299</v>
      </c>
      <c r="B4" s="1" t="s">
        <v>78</v>
      </c>
      <c r="C4" s="1" t="s">
        <v>360</v>
      </c>
      <c r="D4" s="1" t="s">
        <v>361</v>
      </c>
      <c r="E4" s="1" t="s">
        <v>362</v>
      </c>
      <c r="F4" s="1" t="s">
        <v>363</v>
      </c>
      <c r="G4" s="1" t="s">
        <v>364</v>
      </c>
      <c r="H4" s="1" t="s">
        <v>365</v>
      </c>
    </row>
    <row r="5" spans="1:8" ht="34.5">
      <c r="A5" s="2" t="s">
        <v>42</v>
      </c>
      <c r="B5" s="2" t="s">
        <v>284</v>
      </c>
      <c r="C5" s="2" t="s">
        <v>366</v>
      </c>
      <c r="D5" s="2" t="s">
        <v>367</v>
      </c>
      <c r="E5" s="2" t="s">
        <v>368</v>
      </c>
      <c r="F5" s="2" t="s">
        <v>369</v>
      </c>
      <c r="G5" s="2" t="s">
        <v>370</v>
      </c>
      <c r="H5" s="2" t="s">
        <v>371</v>
      </c>
    </row>
    <row r="6" spans="1:8" ht="23">
      <c r="A6" s="2" t="s">
        <v>52</v>
      </c>
      <c r="B6" s="2" t="s">
        <v>156</v>
      </c>
      <c r="C6" s="2" t="s">
        <v>372</v>
      </c>
      <c r="D6" s="2" t="s">
        <v>367</v>
      </c>
      <c r="E6" s="2" t="s">
        <v>373</v>
      </c>
      <c r="F6" s="2" t="s">
        <v>374</v>
      </c>
      <c r="G6" s="2" t="s">
        <v>375</v>
      </c>
      <c r="H6" s="2" t="s">
        <v>194</v>
      </c>
    </row>
    <row r="7" spans="1:8">
      <c r="A7" s="2" t="s">
        <v>60</v>
      </c>
      <c r="B7" s="2" t="s">
        <v>376</v>
      </c>
      <c r="C7" s="2" t="s">
        <v>377</v>
      </c>
      <c r="D7" s="2" t="s">
        <v>378</v>
      </c>
      <c r="E7" s="2" t="s">
        <v>373</v>
      </c>
      <c r="F7" s="2" t="s">
        <v>379</v>
      </c>
      <c r="G7" s="2" t="s">
        <v>380</v>
      </c>
      <c r="H7" s="2" t="s">
        <v>248</v>
      </c>
    </row>
    <row r="8" spans="1:8" ht="23">
      <c r="A8" s="2" t="s">
        <v>60</v>
      </c>
      <c r="B8" s="2" t="s">
        <v>156</v>
      </c>
      <c r="C8" s="2" t="s">
        <v>381</v>
      </c>
      <c r="D8" s="2" t="s">
        <v>367</v>
      </c>
      <c r="E8" s="2" t="s">
        <v>368</v>
      </c>
      <c r="F8" s="2" t="s">
        <v>382</v>
      </c>
      <c r="G8" s="2" t="s">
        <v>383</v>
      </c>
      <c r="H8" s="2" t="s">
        <v>248</v>
      </c>
    </row>
    <row r="9" spans="1:8" ht="23">
      <c r="A9" s="2" t="s">
        <v>60</v>
      </c>
      <c r="B9" s="2" t="s">
        <v>284</v>
      </c>
      <c r="C9" s="2" t="s">
        <v>384</v>
      </c>
      <c r="D9" s="2" t="s">
        <v>367</v>
      </c>
      <c r="E9" s="2" t="s">
        <v>368</v>
      </c>
      <c r="F9" s="2" t="s">
        <v>385</v>
      </c>
      <c r="G9" s="2" t="s">
        <v>386</v>
      </c>
      <c r="H9" s="2" t="s">
        <v>387</v>
      </c>
    </row>
    <row r="10" spans="1:8" ht="23">
      <c r="A10" s="2" t="s">
        <v>66</v>
      </c>
      <c r="B10" s="2" t="s">
        <v>72</v>
      </c>
      <c r="C10" s="2" t="s">
        <v>388</v>
      </c>
      <c r="D10" s="2" t="s">
        <v>389</v>
      </c>
      <c r="E10" s="2" t="s">
        <v>373</v>
      </c>
      <c r="F10" s="2" t="s">
        <v>390</v>
      </c>
      <c r="G10" s="2" t="s">
        <v>391</v>
      </c>
      <c r="H10" s="2" t="s">
        <v>286</v>
      </c>
    </row>
    <row r="11" spans="1:8" ht="34.5">
      <c r="A11" s="2" t="s">
        <v>66</v>
      </c>
      <c r="B11" s="2" t="s">
        <v>284</v>
      </c>
      <c r="C11" s="2" t="s">
        <v>392</v>
      </c>
      <c r="D11" s="2" t="s">
        <v>367</v>
      </c>
      <c r="E11" s="2" t="s">
        <v>393</v>
      </c>
      <c r="F11" s="2" t="s">
        <v>394</v>
      </c>
      <c r="G11" s="2" t="s">
        <v>395</v>
      </c>
      <c r="H11" s="2" t="s">
        <v>396</v>
      </c>
    </row>
    <row r="12" spans="1:8" ht="23">
      <c r="A12" s="2" t="s">
        <v>66</v>
      </c>
      <c r="B12" s="2" t="s">
        <v>397</v>
      </c>
      <c r="C12" s="2" t="s">
        <v>398</v>
      </c>
      <c r="D12" s="2" t="s">
        <v>399</v>
      </c>
      <c r="E12" s="2" t="s">
        <v>368</v>
      </c>
      <c r="F12" s="2" t="s">
        <v>400</v>
      </c>
      <c r="G12" s="2" t="s">
        <v>401</v>
      </c>
      <c r="H12" s="2" t="s">
        <v>402</v>
      </c>
    </row>
  </sheetData>
  <mergeCells count="2">
    <mergeCell ref="A1:H1"/>
    <mergeCell ref="A2:H2"/>
  </mergeCells>
  <conditionalFormatting sqref="E5:E12">
    <cfRule type="expression" dxfId="16" priority="1">
      <formula>E5="High"</formula>
    </cfRule>
    <cfRule type="expression" dxfId="15" priority="2">
      <formula>E5="Moderate"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topLeftCell="A69" workbookViewId="0">
      <selection sqref="A1:J1"/>
    </sheetView>
  </sheetViews>
  <sheetFormatPr defaultRowHeight="14"/>
  <cols>
    <col min="1" max="1" width="10" customWidth="1"/>
    <col min="2" max="2" width="14" customWidth="1"/>
    <col min="3" max="3" width="21" customWidth="1"/>
    <col min="4" max="4" width="35" customWidth="1"/>
    <col min="5" max="5" width="19" customWidth="1"/>
    <col min="6" max="6" width="25" customWidth="1"/>
    <col min="7" max="7" width="44" customWidth="1"/>
    <col min="8" max="8" width="30" customWidth="1"/>
    <col min="9" max="9" width="58" customWidth="1"/>
    <col min="10" max="10" width="15" customWidth="1"/>
  </cols>
  <sheetData>
    <row r="1" spans="1:10" ht="17.399999999999999" customHeight="1">
      <c r="A1" s="13" t="s">
        <v>403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6" customHeight="1">
      <c r="A2" s="14" t="s">
        <v>404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20" customHeight="1">
      <c r="A4" s="1" t="s">
        <v>405</v>
      </c>
      <c r="B4" s="1" t="s">
        <v>299</v>
      </c>
      <c r="C4" s="1" t="s">
        <v>406</v>
      </c>
      <c r="D4" s="1" t="s">
        <v>407</v>
      </c>
      <c r="E4" s="1" t="s">
        <v>408</v>
      </c>
      <c r="F4" s="1" t="s">
        <v>409</v>
      </c>
      <c r="G4" s="1" t="s">
        <v>410</v>
      </c>
      <c r="H4" s="1" t="s">
        <v>411</v>
      </c>
      <c r="I4" s="1" t="s">
        <v>412</v>
      </c>
      <c r="J4" s="1" t="s">
        <v>413</v>
      </c>
    </row>
    <row r="5" spans="1:10" ht="23">
      <c r="A5" s="2" t="s">
        <v>414</v>
      </c>
      <c r="B5" s="2" t="s">
        <v>167</v>
      </c>
      <c r="C5" s="2" t="s">
        <v>415</v>
      </c>
      <c r="D5" s="2" t="s">
        <v>416</v>
      </c>
      <c r="E5" s="2" t="s">
        <v>417</v>
      </c>
      <c r="F5" s="2" t="s">
        <v>418</v>
      </c>
      <c r="G5" s="2" t="s">
        <v>419</v>
      </c>
      <c r="H5" s="2" t="s">
        <v>420</v>
      </c>
      <c r="I5" s="6" t="s">
        <v>421</v>
      </c>
      <c r="J5" s="2" t="s">
        <v>422</v>
      </c>
    </row>
    <row r="6" spans="1:10" ht="23">
      <c r="A6" s="2" t="s">
        <v>423</v>
      </c>
      <c r="B6" s="2" t="s">
        <v>42</v>
      </c>
      <c r="C6" s="2" t="s">
        <v>424</v>
      </c>
      <c r="D6" s="2" t="s">
        <v>99</v>
      </c>
      <c r="E6" s="2" t="s">
        <v>425</v>
      </c>
      <c r="F6" s="2" t="s">
        <v>426</v>
      </c>
      <c r="G6" s="2" t="s">
        <v>427</v>
      </c>
      <c r="H6" s="2" t="s">
        <v>428</v>
      </c>
      <c r="I6" s="6" t="s">
        <v>101</v>
      </c>
      <c r="J6" s="2" t="s">
        <v>102</v>
      </c>
    </row>
    <row r="7" spans="1:10" ht="23">
      <c r="A7" s="2" t="s">
        <v>429</v>
      </c>
      <c r="B7" s="2" t="s">
        <v>42</v>
      </c>
      <c r="C7" s="2" t="s">
        <v>430</v>
      </c>
      <c r="D7" s="2" t="s">
        <v>148</v>
      </c>
      <c r="E7" s="2" t="s">
        <v>425</v>
      </c>
      <c r="F7" s="2" t="s">
        <v>426</v>
      </c>
      <c r="G7" s="2" t="s">
        <v>427</v>
      </c>
      <c r="H7" s="2" t="s">
        <v>428</v>
      </c>
      <c r="I7" s="6" t="s">
        <v>149</v>
      </c>
      <c r="J7" s="2" t="s">
        <v>102</v>
      </c>
    </row>
    <row r="8" spans="1:10" ht="23">
      <c r="A8" s="2" t="s">
        <v>431</v>
      </c>
      <c r="B8" s="2" t="s">
        <v>42</v>
      </c>
      <c r="C8" s="2" t="s">
        <v>432</v>
      </c>
      <c r="D8" s="2" t="s">
        <v>151</v>
      </c>
      <c r="E8" s="2" t="s">
        <v>425</v>
      </c>
      <c r="F8" s="2" t="s">
        <v>426</v>
      </c>
      <c r="G8" s="2" t="s">
        <v>427</v>
      </c>
      <c r="H8" s="2" t="s">
        <v>428</v>
      </c>
      <c r="I8" s="6" t="s">
        <v>152</v>
      </c>
      <c r="J8" s="2" t="s">
        <v>102</v>
      </c>
    </row>
    <row r="9" spans="1:10" ht="23">
      <c r="A9" s="2" t="s">
        <v>433</v>
      </c>
      <c r="B9" s="2" t="s">
        <v>42</v>
      </c>
      <c r="C9" s="2" t="s">
        <v>434</v>
      </c>
      <c r="D9" s="2" t="s">
        <v>154</v>
      </c>
      <c r="E9" s="2" t="s">
        <v>425</v>
      </c>
      <c r="F9" s="2" t="s">
        <v>426</v>
      </c>
      <c r="G9" s="2" t="s">
        <v>427</v>
      </c>
      <c r="H9" s="2" t="s">
        <v>428</v>
      </c>
      <c r="I9" s="6" t="s">
        <v>155</v>
      </c>
      <c r="J9" s="2" t="s">
        <v>102</v>
      </c>
    </row>
    <row r="10" spans="1:10" ht="23">
      <c r="A10" s="2" t="s">
        <v>435</v>
      </c>
      <c r="B10" s="2" t="s">
        <v>42</v>
      </c>
      <c r="C10" s="2" t="s">
        <v>436</v>
      </c>
      <c r="D10" s="2" t="s">
        <v>157</v>
      </c>
      <c r="E10" s="2" t="s">
        <v>425</v>
      </c>
      <c r="F10" s="2" t="s">
        <v>426</v>
      </c>
      <c r="G10" s="2" t="s">
        <v>427</v>
      </c>
      <c r="H10" s="2" t="s">
        <v>428</v>
      </c>
      <c r="I10" s="6" t="s">
        <v>158</v>
      </c>
      <c r="J10" s="2" t="s">
        <v>102</v>
      </c>
    </row>
    <row r="11" spans="1:10">
      <c r="A11" s="2" t="s">
        <v>437</v>
      </c>
      <c r="B11" s="2" t="s">
        <v>52</v>
      </c>
      <c r="C11" s="2" t="s">
        <v>438</v>
      </c>
      <c r="D11" s="2" t="s">
        <v>439</v>
      </c>
      <c r="E11" s="2" t="s">
        <v>440</v>
      </c>
      <c r="F11" s="2" t="s">
        <v>441</v>
      </c>
      <c r="G11" s="2" t="s">
        <v>442</v>
      </c>
      <c r="H11" s="2" t="s">
        <v>443</v>
      </c>
      <c r="I11" s="6" t="s">
        <v>175</v>
      </c>
      <c r="J11" s="2" t="s">
        <v>102</v>
      </c>
    </row>
    <row r="12" spans="1:10">
      <c r="A12" s="2" t="s">
        <v>444</v>
      </c>
      <c r="B12" s="2" t="s">
        <v>52</v>
      </c>
      <c r="C12" s="2" t="s">
        <v>445</v>
      </c>
      <c r="D12" s="2" t="s">
        <v>446</v>
      </c>
      <c r="E12" s="2" t="s">
        <v>447</v>
      </c>
      <c r="F12" s="2" t="s">
        <v>448</v>
      </c>
      <c r="G12" s="2" t="s">
        <v>442</v>
      </c>
      <c r="H12" s="2" t="s">
        <v>443</v>
      </c>
      <c r="I12" s="6" t="s">
        <v>183</v>
      </c>
      <c r="J12" s="2" t="s">
        <v>102</v>
      </c>
    </row>
    <row r="13" spans="1:10">
      <c r="A13" s="2" t="s">
        <v>449</v>
      </c>
      <c r="B13" s="2" t="s">
        <v>52</v>
      </c>
      <c r="C13" s="2" t="s">
        <v>450</v>
      </c>
      <c r="D13" s="2" t="s">
        <v>451</v>
      </c>
      <c r="E13" s="2" t="s">
        <v>452</v>
      </c>
      <c r="F13" s="2" t="s">
        <v>448</v>
      </c>
      <c r="G13" s="2" t="s">
        <v>442</v>
      </c>
      <c r="H13" s="2" t="s">
        <v>443</v>
      </c>
      <c r="I13" s="6" t="s">
        <v>185</v>
      </c>
      <c r="J13" s="2" t="s">
        <v>102</v>
      </c>
    </row>
    <row r="14" spans="1:10">
      <c r="A14" s="2" t="s">
        <v>453</v>
      </c>
      <c r="B14" s="2" t="s">
        <v>52</v>
      </c>
      <c r="C14" s="2" t="s">
        <v>454</v>
      </c>
      <c r="D14" s="2" t="s">
        <v>455</v>
      </c>
      <c r="E14" s="2" t="s">
        <v>456</v>
      </c>
      <c r="F14" s="2" t="s">
        <v>457</v>
      </c>
      <c r="G14" s="2" t="s">
        <v>458</v>
      </c>
      <c r="H14" s="2" t="s">
        <v>459</v>
      </c>
      <c r="I14" s="6" t="s">
        <v>194</v>
      </c>
      <c r="J14" s="2" t="s">
        <v>102</v>
      </c>
    </row>
    <row r="15" spans="1:10" ht="23">
      <c r="A15" s="2" t="s">
        <v>460</v>
      </c>
      <c r="B15" s="2" t="s">
        <v>60</v>
      </c>
      <c r="C15" s="2" t="s">
        <v>461</v>
      </c>
      <c r="D15" s="2" t="s">
        <v>201</v>
      </c>
      <c r="E15" s="2" t="s">
        <v>462</v>
      </c>
      <c r="F15" s="2" t="s">
        <v>463</v>
      </c>
      <c r="G15" s="2" t="s">
        <v>464</v>
      </c>
      <c r="H15" s="2" t="s">
        <v>465</v>
      </c>
      <c r="I15" s="6" t="s">
        <v>203</v>
      </c>
      <c r="J15" s="2" t="s">
        <v>102</v>
      </c>
    </row>
    <row r="16" spans="1:10" ht="23">
      <c r="A16" s="2" t="s">
        <v>466</v>
      </c>
      <c r="B16" s="2" t="s">
        <v>60</v>
      </c>
      <c r="C16" s="2" t="s">
        <v>467</v>
      </c>
      <c r="D16" s="2" t="s">
        <v>245</v>
      </c>
      <c r="E16" s="2" t="s">
        <v>468</v>
      </c>
      <c r="F16" s="2" t="s">
        <v>463</v>
      </c>
      <c r="G16" s="2" t="s">
        <v>464</v>
      </c>
      <c r="H16" s="2" t="s">
        <v>465</v>
      </c>
      <c r="I16" s="6" t="s">
        <v>246</v>
      </c>
      <c r="J16" s="2" t="s">
        <v>102</v>
      </c>
    </row>
    <row r="17" spans="1:10" ht="23">
      <c r="A17" s="2" t="s">
        <v>469</v>
      </c>
      <c r="B17" s="2" t="s">
        <v>60</v>
      </c>
      <c r="C17" s="2" t="s">
        <v>470</v>
      </c>
      <c r="D17" s="2" t="s">
        <v>247</v>
      </c>
      <c r="E17" s="2" t="s">
        <v>471</v>
      </c>
      <c r="F17" s="2" t="s">
        <v>463</v>
      </c>
      <c r="G17" s="2" t="s">
        <v>464</v>
      </c>
      <c r="H17" s="2" t="s">
        <v>465</v>
      </c>
      <c r="I17" s="6" t="s">
        <v>248</v>
      </c>
      <c r="J17" s="2" t="s">
        <v>102</v>
      </c>
    </row>
    <row r="18" spans="1:10" ht="34.5">
      <c r="A18" s="2" t="s">
        <v>472</v>
      </c>
      <c r="B18" s="2" t="s">
        <v>66</v>
      </c>
      <c r="C18" s="2" t="s">
        <v>430</v>
      </c>
      <c r="D18" s="2" t="s">
        <v>256</v>
      </c>
      <c r="E18" s="2" t="s">
        <v>473</v>
      </c>
      <c r="F18" s="2" t="s">
        <v>463</v>
      </c>
      <c r="G18" s="2" t="s">
        <v>474</v>
      </c>
      <c r="H18" s="2" t="s">
        <v>465</v>
      </c>
      <c r="I18" s="6" t="s">
        <v>258</v>
      </c>
      <c r="J18" s="2" t="s">
        <v>102</v>
      </c>
    </row>
    <row r="19" spans="1:10" ht="34.5">
      <c r="A19" s="2" t="s">
        <v>475</v>
      </c>
      <c r="B19" s="2" t="s">
        <v>66</v>
      </c>
      <c r="C19" s="2" t="s">
        <v>432</v>
      </c>
      <c r="D19" s="2" t="s">
        <v>278</v>
      </c>
      <c r="E19" s="2" t="s">
        <v>476</v>
      </c>
      <c r="F19" s="2" t="s">
        <v>463</v>
      </c>
      <c r="G19" s="2" t="s">
        <v>474</v>
      </c>
      <c r="H19" s="2" t="s">
        <v>465</v>
      </c>
      <c r="I19" s="6" t="s">
        <v>279</v>
      </c>
      <c r="J19" s="2" t="s">
        <v>102</v>
      </c>
    </row>
    <row r="20" spans="1:10" ht="34.5">
      <c r="A20" s="2" t="s">
        <v>477</v>
      </c>
      <c r="B20" s="2" t="s">
        <v>66</v>
      </c>
      <c r="C20" s="2" t="s">
        <v>434</v>
      </c>
      <c r="D20" s="2" t="s">
        <v>280</v>
      </c>
      <c r="E20" s="2" t="s">
        <v>478</v>
      </c>
      <c r="F20" s="2" t="s">
        <v>463</v>
      </c>
      <c r="G20" s="2" t="s">
        <v>474</v>
      </c>
      <c r="H20" s="2" t="s">
        <v>465</v>
      </c>
      <c r="I20" s="6" t="s">
        <v>281</v>
      </c>
      <c r="J20" s="2" t="s">
        <v>102</v>
      </c>
    </row>
    <row r="21" spans="1:10" ht="34.5">
      <c r="A21" s="2" t="s">
        <v>479</v>
      </c>
      <c r="B21" s="2" t="s">
        <v>66</v>
      </c>
      <c r="C21" s="2" t="s">
        <v>436</v>
      </c>
      <c r="D21" s="2" t="s">
        <v>282</v>
      </c>
      <c r="E21" s="2" t="s">
        <v>480</v>
      </c>
      <c r="F21" s="2" t="s">
        <v>463</v>
      </c>
      <c r="G21" s="2" t="s">
        <v>474</v>
      </c>
      <c r="H21" s="2" t="s">
        <v>465</v>
      </c>
      <c r="I21" s="6" t="s">
        <v>283</v>
      </c>
      <c r="J21" s="2" t="s">
        <v>102</v>
      </c>
    </row>
    <row r="22" spans="1:10" ht="34.5">
      <c r="A22" s="2" t="s">
        <v>481</v>
      </c>
      <c r="B22" s="2" t="s">
        <v>66</v>
      </c>
      <c r="C22" s="2" t="s">
        <v>482</v>
      </c>
      <c r="D22" s="2" t="s">
        <v>285</v>
      </c>
      <c r="E22" s="2" t="s">
        <v>483</v>
      </c>
      <c r="F22" s="2" t="s">
        <v>463</v>
      </c>
      <c r="G22" s="2" t="s">
        <v>474</v>
      </c>
      <c r="H22" s="2" t="s">
        <v>465</v>
      </c>
      <c r="I22" s="6" t="s">
        <v>286</v>
      </c>
      <c r="J22" s="2" t="s">
        <v>102</v>
      </c>
    </row>
    <row r="23" spans="1:10" ht="20">
      <c r="A23" s="2" t="s">
        <v>484</v>
      </c>
      <c r="B23" s="2" t="s">
        <v>66</v>
      </c>
      <c r="C23" s="2" t="s">
        <v>485</v>
      </c>
      <c r="D23" s="2" t="s">
        <v>486</v>
      </c>
      <c r="E23" s="2" t="s">
        <v>487</v>
      </c>
      <c r="F23" s="2" t="s">
        <v>488</v>
      </c>
      <c r="G23" s="2" t="s">
        <v>489</v>
      </c>
      <c r="H23" s="2" t="s">
        <v>490</v>
      </c>
      <c r="I23" s="6" t="s">
        <v>396</v>
      </c>
      <c r="J23" s="2" t="s">
        <v>102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7"/>
  <sheetViews>
    <sheetView workbookViewId="0">
      <selection sqref="A1:I1"/>
    </sheetView>
  </sheetViews>
  <sheetFormatPr defaultRowHeight="14"/>
  <cols>
    <col min="1" max="1" width="27" customWidth="1"/>
    <col min="2" max="2" width="20" customWidth="1"/>
    <col min="3" max="3" width="36" customWidth="1"/>
    <col min="4" max="4" width="20" customWidth="1"/>
    <col min="5" max="5" width="36" customWidth="1"/>
    <col min="6" max="6" width="20" customWidth="1"/>
    <col min="7" max="7" width="42" customWidth="1"/>
    <col min="8" max="8" width="20" customWidth="1"/>
    <col min="9" max="9" width="42" customWidth="1"/>
  </cols>
  <sheetData>
    <row r="1" spans="1:9" ht="17.399999999999999" customHeight="1">
      <c r="A1" s="13" t="s">
        <v>491</v>
      </c>
      <c r="B1" s="13"/>
      <c r="C1" s="13"/>
      <c r="D1" s="13"/>
      <c r="E1" s="13"/>
      <c r="F1" s="13"/>
      <c r="G1" s="13"/>
      <c r="H1" s="13"/>
      <c r="I1" s="13"/>
    </row>
    <row r="2" spans="1:9" ht="16" customHeight="1">
      <c r="A2" s="14" t="s">
        <v>492</v>
      </c>
      <c r="B2" s="14"/>
      <c r="C2" s="14"/>
      <c r="D2" s="14"/>
      <c r="E2" s="14"/>
      <c r="F2" s="14"/>
      <c r="G2" s="14"/>
      <c r="H2" s="14"/>
      <c r="I2" s="14"/>
    </row>
    <row r="4" spans="1:9" ht="20" customHeight="1">
      <c r="A4" s="1" t="s">
        <v>493</v>
      </c>
      <c r="B4" s="1" t="s">
        <v>42</v>
      </c>
      <c r="C4" s="1" t="s">
        <v>494</v>
      </c>
      <c r="D4" s="1" t="s">
        <v>52</v>
      </c>
      <c r="E4" s="1" t="s">
        <v>495</v>
      </c>
      <c r="F4" s="1" t="s">
        <v>60</v>
      </c>
      <c r="G4" s="1" t="s">
        <v>496</v>
      </c>
      <c r="H4" s="1" t="s">
        <v>66</v>
      </c>
      <c r="I4" s="1" t="s">
        <v>497</v>
      </c>
    </row>
    <row r="5" spans="1:9">
      <c r="A5" s="2" t="s">
        <v>127</v>
      </c>
      <c r="B5" s="2" t="s">
        <v>51</v>
      </c>
      <c r="C5" s="2" t="s">
        <v>47</v>
      </c>
      <c r="D5" s="2" t="s">
        <v>51</v>
      </c>
      <c r="E5" s="2" t="s">
        <v>57</v>
      </c>
      <c r="F5" s="2" t="s">
        <v>51</v>
      </c>
      <c r="G5" s="2" t="s">
        <v>47</v>
      </c>
      <c r="H5" s="2" t="s">
        <v>51</v>
      </c>
      <c r="I5" s="2" t="s">
        <v>71</v>
      </c>
    </row>
    <row r="6" spans="1:9">
      <c r="A6" s="2" t="s">
        <v>132</v>
      </c>
      <c r="B6" s="2" t="s">
        <v>51</v>
      </c>
      <c r="C6" s="2" t="s">
        <v>498</v>
      </c>
      <c r="D6" s="2" t="s">
        <v>51</v>
      </c>
      <c r="E6" s="2" t="s">
        <v>499</v>
      </c>
      <c r="F6" s="2" t="s">
        <v>500</v>
      </c>
      <c r="G6" s="2" t="s">
        <v>501</v>
      </c>
      <c r="H6" s="2" t="s">
        <v>51</v>
      </c>
      <c r="I6" s="2" t="s">
        <v>502</v>
      </c>
    </row>
    <row r="7" spans="1:9" ht="23">
      <c r="A7" s="2" t="s">
        <v>95</v>
      </c>
      <c r="B7" s="2" t="s">
        <v>51</v>
      </c>
      <c r="C7" s="2" t="s">
        <v>503</v>
      </c>
      <c r="D7" s="2" t="s">
        <v>51</v>
      </c>
      <c r="E7" s="2" t="s">
        <v>504</v>
      </c>
      <c r="F7" s="2" t="s">
        <v>51</v>
      </c>
      <c r="G7" s="2" t="s">
        <v>505</v>
      </c>
      <c r="H7" s="2" t="s">
        <v>51</v>
      </c>
      <c r="I7" s="2" t="s">
        <v>506</v>
      </c>
    </row>
    <row r="8" spans="1:9" ht="23">
      <c r="A8" s="2" t="s">
        <v>117</v>
      </c>
      <c r="B8" s="2" t="s">
        <v>51</v>
      </c>
      <c r="C8" s="2" t="s">
        <v>507</v>
      </c>
      <c r="D8" s="2" t="s">
        <v>51</v>
      </c>
      <c r="E8" s="2" t="s">
        <v>508</v>
      </c>
      <c r="F8" s="2" t="s">
        <v>51</v>
      </c>
      <c r="G8" s="2" t="s">
        <v>509</v>
      </c>
      <c r="H8" s="2" t="s">
        <v>51</v>
      </c>
      <c r="I8" s="2" t="s">
        <v>510</v>
      </c>
    </row>
    <row r="9" spans="1:9">
      <c r="A9" s="2" t="s">
        <v>161</v>
      </c>
      <c r="B9" s="2" t="s">
        <v>511</v>
      </c>
      <c r="C9" s="2" t="s">
        <v>512</v>
      </c>
      <c r="D9" s="2" t="s">
        <v>511</v>
      </c>
      <c r="E9" s="2" t="s">
        <v>513</v>
      </c>
      <c r="F9" s="2" t="s">
        <v>511</v>
      </c>
      <c r="G9" s="2" t="s">
        <v>513</v>
      </c>
      <c r="H9" s="2" t="s">
        <v>51</v>
      </c>
      <c r="I9" s="2" t="s">
        <v>72</v>
      </c>
    </row>
    <row r="10" spans="1:9">
      <c r="A10" s="2" t="s">
        <v>108</v>
      </c>
      <c r="B10" s="2" t="s">
        <v>51</v>
      </c>
      <c r="C10" s="2" t="s">
        <v>514</v>
      </c>
      <c r="D10" s="2" t="s">
        <v>51</v>
      </c>
      <c r="E10" s="2" t="s">
        <v>515</v>
      </c>
      <c r="F10" s="2" t="s">
        <v>511</v>
      </c>
      <c r="G10" s="2" t="s">
        <v>516</v>
      </c>
      <c r="H10" s="2" t="s">
        <v>51</v>
      </c>
      <c r="I10" s="2" t="s">
        <v>517</v>
      </c>
    </row>
    <row r="11" spans="1:9">
      <c r="A11" s="2" t="s">
        <v>122</v>
      </c>
      <c r="B11" s="2" t="s">
        <v>51</v>
      </c>
      <c r="C11" s="2" t="s">
        <v>518</v>
      </c>
      <c r="D11" s="2" t="s">
        <v>51</v>
      </c>
      <c r="E11" s="2" t="s">
        <v>519</v>
      </c>
      <c r="F11" s="2" t="s">
        <v>51</v>
      </c>
      <c r="G11" s="2" t="s">
        <v>520</v>
      </c>
      <c r="H11" s="2" t="s">
        <v>51</v>
      </c>
      <c r="I11" s="2" t="s">
        <v>521</v>
      </c>
    </row>
    <row r="12" spans="1:9">
      <c r="A12" s="2" t="s">
        <v>136</v>
      </c>
      <c r="B12" s="2" t="s">
        <v>51</v>
      </c>
      <c r="C12" s="2" t="s">
        <v>522</v>
      </c>
      <c r="D12" s="2" t="s">
        <v>51</v>
      </c>
      <c r="E12" s="2" t="s">
        <v>522</v>
      </c>
      <c r="F12" s="2" t="s">
        <v>51</v>
      </c>
      <c r="G12" s="2" t="s">
        <v>522</v>
      </c>
      <c r="H12" s="2" t="s">
        <v>51</v>
      </c>
      <c r="I12" s="2" t="s">
        <v>522</v>
      </c>
    </row>
    <row r="13" spans="1:9">
      <c r="A13" s="2" t="s">
        <v>134</v>
      </c>
      <c r="B13" s="2" t="s">
        <v>51</v>
      </c>
      <c r="C13" s="2" t="s">
        <v>523</v>
      </c>
      <c r="D13" s="2" t="s">
        <v>51</v>
      </c>
      <c r="E13" s="2" t="s">
        <v>524</v>
      </c>
      <c r="F13" s="2" t="s">
        <v>51</v>
      </c>
      <c r="G13" s="2" t="s">
        <v>525</v>
      </c>
      <c r="H13" s="2" t="s">
        <v>51</v>
      </c>
      <c r="I13" s="2" t="s">
        <v>526</v>
      </c>
    </row>
    <row r="14" spans="1:9">
      <c r="A14" s="2" t="s">
        <v>137</v>
      </c>
      <c r="B14" s="2" t="s">
        <v>51</v>
      </c>
      <c r="C14" s="2" t="s">
        <v>527</v>
      </c>
      <c r="D14" s="2" t="s">
        <v>528</v>
      </c>
      <c r="E14" s="2" t="s">
        <v>529</v>
      </c>
      <c r="F14" s="2" t="s">
        <v>51</v>
      </c>
      <c r="G14" s="2" t="s">
        <v>530</v>
      </c>
      <c r="H14" s="2" t="s">
        <v>528</v>
      </c>
      <c r="I14" s="2" t="s">
        <v>531</v>
      </c>
    </row>
    <row r="15" spans="1:9">
      <c r="A15" s="2" t="s">
        <v>143</v>
      </c>
      <c r="B15" s="2" t="s">
        <v>51</v>
      </c>
      <c r="C15" s="2" t="s">
        <v>532</v>
      </c>
      <c r="D15" s="2" t="s">
        <v>528</v>
      </c>
      <c r="E15" s="2" t="s">
        <v>529</v>
      </c>
      <c r="F15" s="2" t="s">
        <v>51</v>
      </c>
      <c r="G15" s="2" t="s">
        <v>338</v>
      </c>
      <c r="H15" s="2" t="s">
        <v>528</v>
      </c>
      <c r="I15" s="2" t="s">
        <v>531</v>
      </c>
    </row>
    <row r="16" spans="1:9">
      <c r="A16" s="2" t="s">
        <v>533</v>
      </c>
      <c r="B16" s="2" t="s">
        <v>51</v>
      </c>
      <c r="C16" s="2" t="s">
        <v>534</v>
      </c>
      <c r="D16" s="2" t="s">
        <v>51</v>
      </c>
      <c r="E16" s="2" t="s">
        <v>535</v>
      </c>
      <c r="F16" s="2" t="s">
        <v>51</v>
      </c>
      <c r="G16" s="2" t="s">
        <v>534</v>
      </c>
      <c r="H16" s="2" t="s">
        <v>51</v>
      </c>
      <c r="I16" s="2" t="s">
        <v>535</v>
      </c>
    </row>
    <row r="17" spans="1:9">
      <c r="A17" s="2" t="s">
        <v>135</v>
      </c>
      <c r="B17" s="2" t="s">
        <v>51</v>
      </c>
      <c r="C17" s="2" t="s">
        <v>536</v>
      </c>
      <c r="D17" s="2" t="s">
        <v>51</v>
      </c>
      <c r="E17" s="2" t="s">
        <v>537</v>
      </c>
      <c r="F17" s="2" t="s">
        <v>51</v>
      </c>
      <c r="G17" s="2" t="s">
        <v>538</v>
      </c>
      <c r="H17" s="2" t="s">
        <v>51</v>
      </c>
      <c r="I17" s="2" t="s">
        <v>539</v>
      </c>
    </row>
  </sheetData>
  <mergeCells count="2">
    <mergeCell ref="A1:I1"/>
    <mergeCell ref="A2:I2"/>
  </mergeCells>
  <conditionalFormatting sqref="B5:B17">
    <cfRule type="expression" dxfId="14" priority="1">
      <formula>LEFT(B5,8)="Complete"</formula>
    </cfRule>
    <cfRule type="expression" dxfId="13" priority="2">
      <formula>LEFT(B5,7)="Partial"</formula>
    </cfRule>
    <cfRule type="expression" dxfId="12" priority="3">
      <formula>LEFT(B5,1)="N"</formula>
    </cfRule>
  </conditionalFormatting>
  <conditionalFormatting sqref="D5:D17">
    <cfRule type="expression" dxfId="11" priority="4">
      <formula>LEFT(D5,8)="Complete"</formula>
    </cfRule>
    <cfRule type="expression" dxfId="10" priority="5">
      <formula>LEFT(D5,7)="Partial"</formula>
    </cfRule>
    <cfRule type="expression" dxfId="9" priority="6">
      <formula>LEFT(D5,1)="N"</formula>
    </cfRule>
  </conditionalFormatting>
  <conditionalFormatting sqref="F5:F17">
    <cfRule type="expression" dxfId="8" priority="7">
      <formula>LEFT(F5,8)="Complete"</formula>
    </cfRule>
    <cfRule type="expression" dxfId="7" priority="8">
      <formula>LEFT(F5,7)="Partial"</formula>
    </cfRule>
    <cfRule type="expression" dxfId="6" priority="9">
      <formula>LEFT(F5,1)="N"</formula>
    </cfRule>
  </conditionalFormatting>
  <conditionalFormatting sqref="H5:H17">
    <cfRule type="expression" dxfId="5" priority="10">
      <formula>LEFT(H5,8)="Complete"</formula>
    </cfRule>
    <cfRule type="expression" dxfId="4" priority="11">
      <formula>LEFT(H5,7)="Partial"</formula>
    </cfRule>
    <cfRule type="expression" dxfId="3" priority="12">
      <formula>LEFT(H5,1)="N"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8"/>
  <sheetViews>
    <sheetView tabSelected="1" workbookViewId="0">
      <selection sqref="A1:T1"/>
    </sheetView>
  </sheetViews>
  <sheetFormatPr defaultRowHeight="14"/>
  <cols>
    <col min="1" max="1" width="14" customWidth="1"/>
    <col min="2" max="2" width="10" customWidth="1"/>
    <col min="3" max="3" width="16" customWidth="1"/>
    <col min="4" max="4" width="11" customWidth="1"/>
    <col min="5" max="5" width="16" customWidth="1"/>
    <col min="6" max="7" width="15" customWidth="1"/>
    <col min="8" max="8" width="17" customWidth="1"/>
    <col min="9" max="9" width="16" customWidth="1"/>
    <col min="10" max="10" width="12" customWidth="1"/>
    <col min="11" max="11" width="15" customWidth="1"/>
    <col min="12" max="14" width="17" customWidth="1"/>
    <col min="15" max="18" width="15" customWidth="1"/>
    <col min="19" max="19" width="27" customWidth="1"/>
    <col min="20" max="20" width="42" customWidth="1"/>
  </cols>
  <sheetData>
    <row r="1" spans="1:20" ht="17.399999999999999" customHeight="1">
      <c r="A1" s="13" t="s">
        <v>540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ht="16" customHeight="1">
      <c r="A2" s="14" t="s">
        <v>541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4" spans="1:20" ht="20" customHeight="1">
      <c r="A4" s="1" t="s">
        <v>299</v>
      </c>
      <c r="B4" s="1" t="s">
        <v>78</v>
      </c>
      <c r="C4" s="1" t="s">
        <v>33</v>
      </c>
      <c r="D4" s="1" t="s">
        <v>34</v>
      </c>
      <c r="E4" s="1" t="s">
        <v>35</v>
      </c>
      <c r="F4" s="1" t="s">
        <v>127</v>
      </c>
      <c r="G4" s="1" t="s">
        <v>132</v>
      </c>
      <c r="H4" s="1" t="s">
        <v>95</v>
      </c>
      <c r="I4" s="1" t="s">
        <v>117</v>
      </c>
      <c r="J4" s="1" t="s">
        <v>161</v>
      </c>
      <c r="K4" s="1" t="s">
        <v>108</v>
      </c>
      <c r="L4" s="1" t="s">
        <v>122</v>
      </c>
      <c r="M4" s="1" t="s">
        <v>136</v>
      </c>
      <c r="N4" s="1" t="s">
        <v>134</v>
      </c>
      <c r="O4" s="1" t="s">
        <v>137</v>
      </c>
      <c r="P4" s="1" t="s">
        <v>143</v>
      </c>
      <c r="Q4" s="1" t="s">
        <v>179</v>
      </c>
      <c r="R4" s="1" t="s">
        <v>135</v>
      </c>
      <c r="S4" s="1" t="s">
        <v>542</v>
      </c>
      <c r="T4" s="1" t="s">
        <v>543</v>
      </c>
    </row>
    <row r="5" spans="1:20">
      <c r="A5" s="2" t="s">
        <v>42</v>
      </c>
      <c r="B5" s="2" t="s">
        <v>93</v>
      </c>
      <c r="C5" s="5">
        <v>44074</v>
      </c>
      <c r="D5" s="2" t="s">
        <v>44</v>
      </c>
      <c r="E5" s="2" t="s">
        <v>45</v>
      </c>
      <c r="F5" s="10"/>
      <c r="G5" s="10"/>
      <c r="H5" s="10">
        <f>'Accenture Raw Data'!I5</f>
        <v>7192110</v>
      </c>
      <c r="I5" s="10">
        <f>'Accenture Raw Data'!I11</f>
        <v>698039</v>
      </c>
      <c r="J5" s="10"/>
      <c r="K5" s="10">
        <f>'Accenture Raw Data'!I8</f>
        <v>1349874</v>
      </c>
      <c r="L5" s="10">
        <f>'Accenture Raw Data'!I12</f>
        <v>4327672</v>
      </c>
      <c r="M5" s="10"/>
      <c r="N5" s="10"/>
      <c r="O5" s="10"/>
      <c r="P5" s="10"/>
      <c r="Q5" s="10"/>
      <c r="R5" s="10"/>
      <c r="S5" s="2"/>
      <c r="T5" s="2"/>
    </row>
    <row r="6" spans="1:20">
      <c r="A6" s="2" t="s">
        <v>42</v>
      </c>
      <c r="B6" s="2" t="s">
        <v>126</v>
      </c>
      <c r="C6" s="5">
        <v>44439</v>
      </c>
      <c r="D6" s="2" t="s">
        <v>44</v>
      </c>
      <c r="E6" s="2" t="s">
        <v>45</v>
      </c>
      <c r="F6" s="10">
        <f>'Accenture Raw Data'!I21</f>
        <v>50533389</v>
      </c>
      <c r="G6" s="10">
        <f>'Accenture Raw Data'!I22</f>
        <v>34169261</v>
      </c>
      <c r="H6" s="10">
        <f>'Accenture Raw Data'!I13</f>
        <v>8796992</v>
      </c>
      <c r="I6" s="10">
        <f>'Accenture Raw Data'!I19</f>
        <v>969554</v>
      </c>
      <c r="J6" s="10"/>
      <c r="K6" s="10">
        <f>'Accenture Raw Data'!I16</f>
        <v>2274057</v>
      </c>
      <c r="L6" s="10">
        <f>'Accenture Raw Data'!I20</f>
        <v>4929257</v>
      </c>
      <c r="M6" s="10">
        <f>'Accenture Raw Data'!I25</f>
        <v>8975148</v>
      </c>
      <c r="N6" s="10">
        <f>'Accenture Raw Data'!I23</f>
        <v>7621529</v>
      </c>
      <c r="O6" s="10">
        <f>'Accenture Raw Data'!I26</f>
        <v>512051</v>
      </c>
      <c r="P6" s="10">
        <f>'Accenture Raw Data'!I29</f>
        <v>609922</v>
      </c>
      <c r="Q6" s="10"/>
      <c r="R6" s="10">
        <f>'Accenture Raw Data'!I24</f>
        <v>5990545</v>
      </c>
      <c r="S6" s="2"/>
      <c r="T6" s="2"/>
    </row>
    <row r="7" spans="1:20">
      <c r="A7" s="2" t="s">
        <v>42</v>
      </c>
      <c r="B7" s="2" t="s">
        <v>147</v>
      </c>
      <c r="C7" s="5">
        <v>44804</v>
      </c>
      <c r="D7" s="2" t="s">
        <v>44</v>
      </c>
      <c r="E7" s="2" t="s">
        <v>45</v>
      </c>
      <c r="F7" s="10">
        <f>'Accenture Raw Data'!I38</f>
        <v>61594305</v>
      </c>
      <c r="G7" s="10">
        <f>'Accenture Raw Data'!I39</f>
        <v>41892766</v>
      </c>
      <c r="H7" s="10">
        <f>'Accenture Raw Data'!I30</f>
        <v>10484211</v>
      </c>
      <c r="I7" s="10">
        <f>'Accenture Raw Data'!I36</f>
        <v>1339408</v>
      </c>
      <c r="J7" s="10"/>
      <c r="K7" s="10">
        <f>'Accenture Raw Data'!I33</f>
        <v>2559485</v>
      </c>
      <c r="L7" s="10">
        <f>'Accenture Raw Data'!I37</f>
        <v>5190763</v>
      </c>
      <c r="M7" s="10">
        <f>'Accenture Raw Data'!I42</f>
        <v>9541129</v>
      </c>
      <c r="N7" s="10">
        <f>'Accenture Raw Data'!I40</f>
        <v>9367181</v>
      </c>
      <c r="O7" s="10">
        <f>'Accenture Raw Data'!I43</f>
        <v>591748</v>
      </c>
      <c r="P7" s="10">
        <f>'Accenture Raw Data'!I46</f>
        <v>718990</v>
      </c>
      <c r="Q7" s="10"/>
      <c r="R7" s="10">
        <f>'Accenture Raw Data'!I41</f>
        <v>6988960</v>
      </c>
      <c r="S7" s="2"/>
      <c r="T7" s="2"/>
    </row>
    <row r="8" spans="1:20">
      <c r="A8" s="2" t="s">
        <v>42</v>
      </c>
      <c r="B8" s="2" t="s">
        <v>150</v>
      </c>
      <c r="C8" s="5">
        <v>45169</v>
      </c>
      <c r="D8" s="2" t="s">
        <v>44</v>
      </c>
      <c r="E8" s="2" t="s">
        <v>45</v>
      </c>
      <c r="F8" s="10">
        <f>'Accenture Raw Data'!I55</f>
        <v>64111745</v>
      </c>
      <c r="G8" s="10">
        <f>'Accenture Raw Data'!I56</f>
        <v>43380138</v>
      </c>
      <c r="H8" s="10">
        <f>'Accenture Raw Data'!I47</f>
        <v>10690713</v>
      </c>
      <c r="I8" s="10">
        <f>'Accenture Raw Data'!I53</f>
        <v>1643467</v>
      </c>
      <c r="J8" s="10"/>
      <c r="K8" s="10">
        <f>'Accenture Raw Data'!I50</f>
        <v>2491173</v>
      </c>
      <c r="L8" s="10">
        <f>'Accenture Raw Data'!I54</f>
        <v>5561106</v>
      </c>
      <c r="M8" s="10">
        <f>'Accenture Raw Data'!I59</f>
        <v>9524268</v>
      </c>
      <c r="N8" s="10">
        <f>'Accenture Raw Data'!I57</f>
        <v>8809889</v>
      </c>
      <c r="O8" s="10">
        <f>'Accenture Raw Data'!I60</f>
        <v>620659</v>
      </c>
      <c r="P8" s="10">
        <f>'Accenture Raw Data'!I63</f>
        <v>780096</v>
      </c>
      <c r="Q8" s="10"/>
      <c r="R8" s="10">
        <f>'Accenture Raw Data'!I58</f>
        <v>7003530</v>
      </c>
      <c r="S8" s="2"/>
      <c r="T8" s="2"/>
    </row>
    <row r="9" spans="1:20">
      <c r="A9" s="2" t="s">
        <v>42</v>
      </c>
      <c r="B9" s="2" t="s">
        <v>153</v>
      </c>
      <c r="C9" s="5">
        <v>45535</v>
      </c>
      <c r="D9" s="2" t="s">
        <v>44</v>
      </c>
      <c r="E9" s="2" t="s">
        <v>45</v>
      </c>
      <c r="F9" s="10">
        <f>'Accenture Raw Data'!I72</f>
        <v>64896464</v>
      </c>
      <c r="G9" s="10">
        <f>'Accenture Raw Data'!I73</f>
        <v>43734147</v>
      </c>
      <c r="H9" s="10">
        <f>'Accenture Raw Data'!I64</f>
        <v>11873442</v>
      </c>
      <c r="I9" s="10">
        <f>'Accenture Raw Data'!I70</f>
        <v>1911665</v>
      </c>
      <c r="J9" s="10"/>
      <c r="K9" s="10">
        <f>'Accenture Raw Data'!I67</f>
        <v>2743807</v>
      </c>
      <c r="L9" s="10">
        <f>'Accenture Raw Data'!I71</f>
        <v>5816014</v>
      </c>
      <c r="M9" s="10">
        <f>'Accenture Raw Data'!I76</f>
        <v>9131027</v>
      </c>
      <c r="N9" s="10">
        <f>'Accenture Raw Data'!I74</f>
        <v>9595847</v>
      </c>
      <c r="O9" s="10">
        <f>'Accenture Raw Data'!I77</f>
        <v>547935</v>
      </c>
      <c r="P9" s="10">
        <f>'Accenture Raw Data'!I80</f>
        <v>882107</v>
      </c>
      <c r="Q9" s="10"/>
      <c r="R9" s="10">
        <f>'Accenture Raw Data'!I75</f>
        <v>7419197</v>
      </c>
      <c r="S9" s="2"/>
      <c r="T9" s="2"/>
    </row>
    <row r="10" spans="1:20">
      <c r="A10" s="2" t="s">
        <v>42</v>
      </c>
      <c r="B10" s="2" t="s">
        <v>156</v>
      </c>
      <c r="C10" s="5">
        <v>45900</v>
      </c>
      <c r="D10" s="2" t="s">
        <v>44</v>
      </c>
      <c r="E10" s="2" t="s">
        <v>45</v>
      </c>
      <c r="F10" s="10">
        <f>'Accenture Raw Data'!I89</f>
        <v>69672977</v>
      </c>
      <c r="G10" s="10">
        <f>'Accenture Raw Data'!I90</f>
        <v>47437576</v>
      </c>
      <c r="H10" s="10">
        <f>'Accenture Raw Data'!I81</f>
        <v>13065433</v>
      </c>
      <c r="I10" s="10">
        <f>'Accenture Raw Data'!I87</f>
        <v>2100002</v>
      </c>
      <c r="J10" s="10"/>
      <c r="K10" s="10">
        <f>'Accenture Raw Data'!I84</f>
        <v>2695589</v>
      </c>
      <c r="L10" s="10">
        <f>'Accenture Raw Data'!I88</f>
        <v>6715531</v>
      </c>
      <c r="M10" s="10">
        <f>'Accenture Raw Data'!I93</f>
        <v>11474399</v>
      </c>
      <c r="N10" s="10">
        <f>'Accenture Raw Data'!I91</f>
        <v>10225664</v>
      </c>
      <c r="O10" s="10">
        <f>'Accenture Raw Data'!I94</f>
        <v>622493</v>
      </c>
      <c r="P10" s="10">
        <f>'Accenture Raw Data'!I97</f>
        <v>1082964</v>
      </c>
      <c r="Q10" s="10"/>
      <c r="R10" s="10">
        <f>'Accenture Raw Data'!I92</f>
        <v>7832400</v>
      </c>
      <c r="S10" s="2"/>
      <c r="T10" s="2"/>
    </row>
    <row r="11" spans="1:20">
      <c r="A11" s="2" t="s">
        <v>52</v>
      </c>
      <c r="B11" s="2" t="s">
        <v>170</v>
      </c>
      <c r="C11" s="5">
        <v>43830</v>
      </c>
      <c r="D11" s="2" t="s">
        <v>54</v>
      </c>
      <c r="E11" s="2" t="s">
        <v>55</v>
      </c>
      <c r="F11" s="10"/>
      <c r="G11" s="10"/>
      <c r="H11" s="10">
        <f>'Capgemini Raw Data'!I5</f>
        <v>2140</v>
      </c>
      <c r="I11" s="10">
        <f>'Capgemini Raw Data'!I6</f>
        <v>1176</v>
      </c>
      <c r="J11" s="10"/>
      <c r="K11" s="10">
        <f>'Capgemini Raw Data'!I7</f>
        <v>1149</v>
      </c>
      <c r="L11" s="10">
        <f>'Capgemini Raw Data'!I8</f>
        <v>836</v>
      </c>
      <c r="M11" s="10"/>
      <c r="N11" s="10"/>
      <c r="O11" s="10"/>
      <c r="P11" s="10"/>
      <c r="Q11" s="10"/>
      <c r="R11" s="10"/>
      <c r="S11" s="2"/>
      <c r="T11" s="2"/>
    </row>
    <row r="12" spans="1:20">
      <c r="A12" s="2" t="s">
        <v>52</v>
      </c>
      <c r="B12" s="2" t="s">
        <v>93</v>
      </c>
      <c r="C12" s="5">
        <v>44196</v>
      </c>
      <c r="D12" s="2" t="s">
        <v>54</v>
      </c>
      <c r="E12" s="2" t="s">
        <v>55</v>
      </c>
      <c r="F12" s="10">
        <f>'Capgemini Raw Data'!I13</f>
        <v>15848</v>
      </c>
      <c r="G12" s="10">
        <f>'Capgemini Raw Data'!I14</f>
        <v>11712</v>
      </c>
      <c r="H12" s="10">
        <f>'Capgemini Raw Data'!I9</f>
        <v>2724</v>
      </c>
      <c r="I12" s="10">
        <f>'Capgemini Raw Data'!I10</f>
        <v>1148</v>
      </c>
      <c r="J12" s="10"/>
      <c r="K12" s="10">
        <f>'Capgemini Raw Data'!I11</f>
        <v>1209</v>
      </c>
      <c r="L12" s="10">
        <f>'Capgemini Raw Data'!I12</f>
        <v>1044</v>
      </c>
      <c r="M12" s="10">
        <f>'Capgemini Raw Data'!I17</f>
        <v>1661</v>
      </c>
      <c r="N12" s="10">
        <f>'Capgemini Raw Data'!I15</f>
        <v>1502</v>
      </c>
      <c r="O12" s="10"/>
      <c r="P12" s="10"/>
      <c r="Q12" s="10">
        <f>'Capgemini Raw Data'!I18</f>
        <v>649</v>
      </c>
      <c r="R12" s="10">
        <f>'Capgemini Raw Data'!I16</f>
        <v>957</v>
      </c>
      <c r="S12" s="2"/>
      <c r="T12" s="2"/>
    </row>
    <row r="13" spans="1:20">
      <c r="A13" s="2" t="s">
        <v>52</v>
      </c>
      <c r="B13" s="2" t="s">
        <v>126</v>
      </c>
      <c r="C13" s="5">
        <v>44561</v>
      </c>
      <c r="D13" s="2" t="s">
        <v>54</v>
      </c>
      <c r="E13" s="2" t="s">
        <v>55</v>
      </c>
      <c r="F13" s="10">
        <f>'Capgemini Raw Data'!I23</f>
        <v>18160</v>
      </c>
      <c r="G13" s="10">
        <f>'Capgemini Raw Data'!I24</f>
        <v>13368</v>
      </c>
      <c r="H13" s="10">
        <f>'Capgemini Raw Data'!I19</f>
        <v>3133</v>
      </c>
      <c r="I13" s="10">
        <f>'Capgemini Raw Data'!I20</f>
        <v>1380</v>
      </c>
      <c r="J13" s="10"/>
      <c r="K13" s="10">
        <f>'Capgemini Raw Data'!I21</f>
        <v>1628</v>
      </c>
      <c r="L13" s="10">
        <f>'Capgemini Raw Data'!I22</f>
        <v>1405</v>
      </c>
      <c r="M13" s="10">
        <f>'Capgemini Raw Data'!I27</f>
        <v>2581</v>
      </c>
      <c r="N13" s="10">
        <f>'Capgemini Raw Data'!I25</f>
        <v>1839</v>
      </c>
      <c r="O13" s="10"/>
      <c r="P13" s="10"/>
      <c r="Q13" s="10">
        <f>'Capgemini Raw Data'!I28</f>
        <v>672</v>
      </c>
      <c r="R13" s="10">
        <f>'Capgemini Raw Data'!I26</f>
        <v>1157</v>
      </c>
      <c r="S13" s="2"/>
      <c r="T13" s="2"/>
    </row>
    <row r="14" spans="1:20">
      <c r="A14" s="2" t="s">
        <v>52</v>
      </c>
      <c r="B14" s="2" t="s">
        <v>147</v>
      </c>
      <c r="C14" s="5">
        <v>44926</v>
      </c>
      <c r="D14" s="2" t="s">
        <v>54</v>
      </c>
      <c r="E14" s="2" t="s">
        <v>55</v>
      </c>
      <c r="F14" s="10">
        <f>'Capgemini Raw Data'!I33</f>
        <v>21995</v>
      </c>
      <c r="G14" s="10">
        <f>'Capgemini Raw Data'!I34</f>
        <v>16163</v>
      </c>
      <c r="H14" s="10">
        <f>'Capgemini Raw Data'!I29</f>
        <v>3346</v>
      </c>
      <c r="I14" s="10">
        <f>'Capgemini Raw Data'!I30</f>
        <v>1784</v>
      </c>
      <c r="J14" s="10"/>
      <c r="K14" s="10">
        <f>'Capgemini Raw Data'!I31</f>
        <v>1712</v>
      </c>
      <c r="L14" s="10">
        <f>'Capgemini Raw Data'!I32</f>
        <v>1470</v>
      </c>
      <c r="M14" s="10">
        <f>'Capgemini Raw Data'!I37</f>
        <v>2517</v>
      </c>
      <c r="N14" s="10">
        <f>'Capgemini Raw Data'!I35</f>
        <v>2393</v>
      </c>
      <c r="O14" s="10"/>
      <c r="P14" s="10"/>
      <c r="Q14" s="10">
        <f>'Capgemini Raw Data'!I38</f>
        <v>719</v>
      </c>
      <c r="R14" s="10">
        <f>'Capgemini Raw Data'!I36</f>
        <v>1547</v>
      </c>
      <c r="S14" s="2"/>
      <c r="T14" s="2"/>
    </row>
    <row r="15" spans="1:20">
      <c r="A15" s="2" t="s">
        <v>52</v>
      </c>
      <c r="B15" s="2" t="s">
        <v>150</v>
      </c>
      <c r="C15" s="5">
        <v>45291</v>
      </c>
      <c r="D15" s="2" t="s">
        <v>54</v>
      </c>
      <c r="E15" s="2" t="s">
        <v>55</v>
      </c>
      <c r="F15" s="10">
        <f>'Capgemini Raw Data'!I43</f>
        <v>22522</v>
      </c>
      <c r="G15" s="10">
        <f>'Capgemini Raw Data'!I44</f>
        <v>16474</v>
      </c>
      <c r="H15" s="10">
        <f>'Capgemini Raw Data'!I39</f>
        <v>3306</v>
      </c>
      <c r="I15" s="10">
        <f>'Capgemini Raw Data'!I40</f>
        <v>1670</v>
      </c>
      <c r="J15" s="10"/>
      <c r="K15" s="10">
        <f>'Capgemini Raw Data'!I41</f>
        <v>1537</v>
      </c>
      <c r="L15" s="10">
        <f>'Capgemini Raw Data'!I42</f>
        <v>1332</v>
      </c>
      <c r="M15" s="10">
        <f>'Capgemini Raw Data'!I47</f>
        <v>2525</v>
      </c>
      <c r="N15" s="10">
        <f>'Capgemini Raw Data'!I45</f>
        <v>2346</v>
      </c>
      <c r="O15" s="10"/>
      <c r="P15" s="10"/>
      <c r="Q15" s="10">
        <f>'Capgemini Raw Data'!I48</f>
        <v>700</v>
      </c>
      <c r="R15" s="10">
        <f>'Capgemini Raw Data'!I46</f>
        <v>1663</v>
      </c>
      <c r="S15" s="2"/>
      <c r="T15" s="2"/>
    </row>
    <row r="16" spans="1:20">
      <c r="A16" s="2" t="s">
        <v>52</v>
      </c>
      <c r="B16" s="2" t="s">
        <v>153</v>
      </c>
      <c r="C16" s="5">
        <v>45657</v>
      </c>
      <c r="D16" s="2" t="s">
        <v>54</v>
      </c>
      <c r="E16" s="2" t="s">
        <v>55</v>
      </c>
      <c r="F16" s="10">
        <f>'Capgemini Raw Data'!I53</f>
        <v>22096</v>
      </c>
      <c r="G16" s="10">
        <f>'Capgemini Raw Data'!I54</f>
        <v>16044</v>
      </c>
      <c r="H16" s="10">
        <f>'Capgemini Raw Data'!I49</f>
        <v>3255</v>
      </c>
      <c r="I16" s="10">
        <f>'Capgemini Raw Data'!I50</f>
        <v>1838</v>
      </c>
      <c r="J16" s="10"/>
      <c r="K16" s="10">
        <f>'Capgemini Raw Data'!I51</f>
        <v>1642</v>
      </c>
      <c r="L16" s="10">
        <f>'Capgemini Raw Data'!I52</f>
        <v>1392</v>
      </c>
      <c r="M16" s="10">
        <f>'Capgemini Raw Data'!I57</f>
        <v>2526</v>
      </c>
      <c r="N16" s="10">
        <f>'Capgemini Raw Data'!I55</f>
        <v>2356</v>
      </c>
      <c r="O16" s="10"/>
      <c r="P16" s="10"/>
      <c r="Q16" s="10">
        <f>'Capgemini Raw Data'!I58</f>
        <v>683</v>
      </c>
      <c r="R16" s="10">
        <f>'Capgemini Raw Data'!I56</f>
        <v>1671</v>
      </c>
      <c r="S16" s="2"/>
      <c r="T16" s="2"/>
    </row>
    <row r="17" spans="1:20">
      <c r="A17" s="2" t="s">
        <v>60</v>
      </c>
      <c r="B17" s="2" t="s">
        <v>93</v>
      </c>
      <c r="C17" s="5">
        <v>44104</v>
      </c>
      <c r="D17" s="2" t="s">
        <v>62</v>
      </c>
      <c r="E17" s="2" t="s">
        <v>63</v>
      </c>
      <c r="F17" s="10"/>
      <c r="G17" s="10"/>
      <c r="H17" s="10">
        <f>'CGI Raw Data'!I5</f>
        <v>904887</v>
      </c>
      <c r="I17" s="10">
        <f>'CGI Raw Data'!I7</f>
        <v>1075252</v>
      </c>
      <c r="J17" s="10"/>
      <c r="K17" s="10"/>
      <c r="L17" s="10">
        <f>'CGI Raw Data'!I8</f>
        <v>426393</v>
      </c>
      <c r="M17" s="10"/>
      <c r="N17" s="10"/>
      <c r="O17" s="10"/>
      <c r="P17" s="10"/>
      <c r="Q17" s="10"/>
      <c r="R17" s="10"/>
      <c r="S17" s="2"/>
      <c r="T17" s="2" t="s">
        <v>544</v>
      </c>
    </row>
    <row r="18" spans="1:20">
      <c r="A18" s="2" t="s">
        <v>60</v>
      </c>
      <c r="B18" s="2" t="s">
        <v>126</v>
      </c>
      <c r="C18" s="5">
        <v>44469</v>
      </c>
      <c r="D18" s="2" t="s">
        <v>62</v>
      </c>
      <c r="E18" s="2" t="s">
        <v>63</v>
      </c>
      <c r="F18" s="10">
        <f>'CGI Raw Data'!I15</f>
        <v>12126793</v>
      </c>
      <c r="G18" s="10"/>
      <c r="H18" s="10">
        <f>'CGI Raw Data'!I10</f>
        <v>938417</v>
      </c>
      <c r="I18" s="10">
        <f>'CGI Raw Data'!I12</f>
        <v>1045058</v>
      </c>
      <c r="J18" s="10"/>
      <c r="K18" s="10"/>
      <c r="L18" s="10">
        <f>'CGI Raw Data'!I13</f>
        <v>445740</v>
      </c>
      <c r="M18" s="10">
        <f>'CGI Raw Data'!I18</f>
        <v>2115928</v>
      </c>
      <c r="N18" s="10">
        <f>'CGI Raw Data'!I27</f>
        <v>1941258</v>
      </c>
      <c r="O18" s="10">
        <f>'CGI Raw Data'!I28</f>
        <v>304663</v>
      </c>
      <c r="P18" s="10">
        <f>'CGI Raw Data'!I29</f>
        <v>193841</v>
      </c>
      <c r="Q18" s="10"/>
      <c r="R18" s="10">
        <f>'CGI Raw Data'!I17</f>
        <v>1369072</v>
      </c>
      <c r="S18" s="2"/>
      <c r="T18" s="2" t="s">
        <v>544</v>
      </c>
    </row>
    <row r="19" spans="1:20">
      <c r="A19" s="2" t="s">
        <v>60</v>
      </c>
      <c r="B19" s="2" t="s">
        <v>147</v>
      </c>
      <c r="C19" s="5">
        <v>44834</v>
      </c>
      <c r="D19" s="2" t="s">
        <v>62</v>
      </c>
      <c r="E19" s="2" t="s">
        <v>63</v>
      </c>
      <c r="F19" s="10">
        <f>'CGI Raw Data'!I35</f>
        <v>12867201</v>
      </c>
      <c r="G19" s="10"/>
      <c r="H19" s="10">
        <f>'CGI Raw Data'!I30</f>
        <v>1106187</v>
      </c>
      <c r="I19" s="10">
        <f>'CGI Raw Data'!I32</f>
        <v>1191844</v>
      </c>
      <c r="J19" s="10"/>
      <c r="K19" s="10"/>
      <c r="L19" s="10">
        <f>'CGI Raw Data'!I33</f>
        <v>453579</v>
      </c>
      <c r="M19" s="10">
        <f>'CGI Raw Data'!I38</f>
        <v>1864998</v>
      </c>
      <c r="N19" s="10">
        <f>'CGI Raw Data'!I47</f>
        <v>2062983</v>
      </c>
      <c r="O19" s="10">
        <f>'CGI Raw Data'!I48</f>
        <v>274946</v>
      </c>
      <c r="P19" s="10">
        <f>'CGI Raw Data'!I49</f>
        <v>190735</v>
      </c>
      <c r="Q19" s="10"/>
      <c r="R19" s="10">
        <f>'CGI Raw Data'!I37</f>
        <v>1466142</v>
      </c>
      <c r="S19" s="2"/>
      <c r="T19" s="2" t="s">
        <v>544</v>
      </c>
    </row>
    <row r="20" spans="1:20">
      <c r="A20" s="2" t="s">
        <v>60</v>
      </c>
      <c r="B20" s="2" t="s">
        <v>150</v>
      </c>
      <c r="C20" s="5">
        <v>45199</v>
      </c>
      <c r="D20" s="2" t="s">
        <v>62</v>
      </c>
      <c r="E20" s="2" t="s">
        <v>63</v>
      </c>
      <c r="F20" s="10">
        <f>'CGI Raw Data'!I55</f>
        <v>14296360</v>
      </c>
      <c r="G20" s="10"/>
      <c r="H20" s="10">
        <f>'CGI Raw Data'!I50</f>
        <v>1152880</v>
      </c>
      <c r="I20" s="10">
        <f>'CGI Raw Data'!I52</f>
        <v>1143685</v>
      </c>
      <c r="J20" s="10"/>
      <c r="K20" s="10"/>
      <c r="L20" s="10">
        <f>'CGI Raw Data'!I53</f>
        <v>488761</v>
      </c>
      <c r="M20" s="10">
        <f>'CGI Raw Data'!I58</f>
        <v>2112249</v>
      </c>
      <c r="N20" s="10">
        <f>'CGI Raw Data'!I67</f>
        <v>2251574</v>
      </c>
      <c r="O20" s="10">
        <f>'CGI Raw Data'!I68</f>
        <v>285683</v>
      </c>
      <c r="P20" s="10">
        <f>'CGI Raw Data'!I69</f>
        <v>220958</v>
      </c>
      <c r="Q20" s="10"/>
      <c r="R20" s="10">
        <f>'CGI Raw Data'!I57</f>
        <v>1631249</v>
      </c>
      <c r="S20" s="2"/>
      <c r="T20" s="2" t="s">
        <v>544</v>
      </c>
    </row>
    <row r="21" spans="1:20">
      <c r="A21" s="2" t="s">
        <v>60</v>
      </c>
      <c r="B21" s="2" t="s">
        <v>153</v>
      </c>
      <c r="C21" s="5">
        <v>45565</v>
      </c>
      <c r="D21" s="2" t="s">
        <v>62</v>
      </c>
      <c r="E21" s="2" t="s">
        <v>63</v>
      </c>
      <c r="F21" s="10">
        <f>'CGI Raw Data'!I75</f>
        <v>14676152</v>
      </c>
      <c r="G21" s="10"/>
      <c r="H21" s="10">
        <f>'CGI Raw Data'!I70</f>
        <v>1117712</v>
      </c>
      <c r="I21" s="10">
        <f>'CGI Raw Data'!I72</f>
        <v>1208095</v>
      </c>
      <c r="J21" s="10"/>
      <c r="K21" s="10"/>
      <c r="L21" s="10">
        <f>'CGI Raw Data'!I73</f>
        <v>536788</v>
      </c>
      <c r="M21" s="10">
        <f>'CGI Raw Data'!I78</f>
        <v>2204983</v>
      </c>
      <c r="N21" s="10">
        <f>'CGI Raw Data'!I87</f>
        <v>2319493</v>
      </c>
      <c r="O21" s="10">
        <f>'CGI Raw Data'!I88</f>
        <v>261433</v>
      </c>
      <c r="P21" s="10">
        <f>'CGI Raw Data'!I89</f>
        <v>247738</v>
      </c>
      <c r="Q21" s="10"/>
      <c r="R21" s="10">
        <f>'CGI Raw Data'!I77</f>
        <v>1692715</v>
      </c>
      <c r="S21" s="2"/>
      <c r="T21" s="2" t="s">
        <v>544</v>
      </c>
    </row>
    <row r="22" spans="1:20">
      <c r="A22" s="2" t="s">
        <v>60</v>
      </c>
      <c r="B22" s="2" t="s">
        <v>156</v>
      </c>
      <c r="C22" s="5">
        <v>45930</v>
      </c>
      <c r="D22" s="2" t="s">
        <v>62</v>
      </c>
      <c r="E22" s="2" t="s">
        <v>63</v>
      </c>
      <c r="F22" s="10">
        <f>'CGI Raw Data'!I95</f>
        <v>15912673</v>
      </c>
      <c r="G22" s="10"/>
      <c r="H22" s="10">
        <f>'CGI Raw Data'!I90</f>
        <v>1343282</v>
      </c>
      <c r="I22" s="10">
        <f>'CGI Raw Data'!I92</f>
        <v>1367989</v>
      </c>
      <c r="J22" s="10"/>
      <c r="K22" s="10"/>
      <c r="L22" s="10">
        <f>'CGI Raw Data'!I93</f>
        <v>577286</v>
      </c>
      <c r="M22" s="10">
        <f>'CGI Raw Data'!I98</f>
        <v>2234197</v>
      </c>
      <c r="N22" s="10">
        <f>'CGI Raw Data'!I107</f>
        <v>2326597</v>
      </c>
      <c r="O22" s="10">
        <f>'CGI Raw Data'!I108</f>
        <v>272483</v>
      </c>
      <c r="P22" s="10">
        <f>'CGI Raw Data'!I109</f>
        <v>309868</v>
      </c>
      <c r="Q22" s="10"/>
      <c r="R22" s="10">
        <f>'CGI Raw Data'!I97</f>
        <v>1658285</v>
      </c>
      <c r="S22" s="2" t="s">
        <v>545</v>
      </c>
      <c r="T22" s="2" t="s">
        <v>544</v>
      </c>
    </row>
    <row r="23" spans="1:20" ht="23">
      <c r="A23" s="2" t="s">
        <v>66</v>
      </c>
      <c r="B23" s="2" t="s">
        <v>126</v>
      </c>
      <c r="C23" s="5">
        <v>44286</v>
      </c>
      <c r="D23" s="2" t="s">
        <v>68</v>
      </c>
      <c r="E23" s="2" t="s">
        <v>69</v>
      </c>
      <c r="F23" s="10"/>
      <c r="G23" s="10"/>
      <c r="H23" s="10">
        <f>'TCS Raw Data'!I11</f>
        <v>36990</v>
      </c>
      <c r="I23" s="10">
        <f>'TCS Raw Data'!I7</f>
        <v>4080</v>
      </c>
      <c r="J23" s="10">
        <f>'TCS Raw Data'!I8</f>
        <v>8</v>
      </c>
      <c r="K23" s="10">
        <f>'TCS Raw Data'!I9</f>
        <v>7860</v>
      </c>
      <c r="L23" s="10">
        <f>'TCS Raw Data'!I10</f>
        <v>4847</v>
      </c>
      <c r="M23" s="10"/>
      <c r="N23" s="10"/>
      <c r="O23" s="10"/>
      <c r="P23" s="10"/>
      <c r="Q23" s="10"/>
      <c r="R23" s="10"/>
      <c r="S23" s="2"/>
      <c r="T23" s="2" t="s">
        <v>546</v>
      </c>
    </row>
    <row r="24" spans="1:20" ht="23">
      <c r="A24" s="2" t="s">
        <v>66</v>
      </c>
      <c r="B24" s="2" t="s">
        <v>147</v>
      </c>
      <c r="C24" s="5">
        <v>44651</v>
      </c>
      <c r="D24" s="2" t="s">
        <v>68</v>
      </c>
      <c r="E24" s="2" t="s">
        <v>69</v>
      </c>
      <c r="F24" s="10">
        <f>'TCS Raw Data'!I21</f>
        <v>191754</v>
      </c>
      <c r="G24" s="10">
        <f>'TCS Raw Data'!I22</f>
        <v>114621</v>
      </c>
      <c r="H24" s="10">
        <f>'TCS Raw Data'!I19</f>
        <v>42010</v>
      </c>
      <c r="I24" s="10">
        <f>'TCS Raw Data'!I15</f>
        <v>4419</v>
      </c>
      <c r="J24" s="10">
        <f>'TCS Raw Data'!I16</f>
        <v>20</v>
      </c>
      <c r="K24" s="10">
        <f>'TCS Raw Data'!I17</f>
        <v>8045</v>
      </c>
      <c r="L24" s="10">
        <f>'TCS Raw Data'!I18</f>
        <v>4745</v>
      </c>
      <c r="M24" s="10">
        <f>'TCS Raw Data'!I25</f>
        <v>39949</v>
      </c>
      <c r="N24" s="10">
        <f>'TCS Raw Data'!I23</f>
        <v>48453</v>
      </c>
      <c r="O24" s="10"/>
      <c r="P24" s="10"/>
      <c r="Q24" s="10">
        <f>'TCS Raw Data'!I26</f>
        <v>4604</v>
      </c>
      <c r="R24" s="10">
        <f>'TCS Raw Data'!I24</f>
        <v>38327</v>
      </c>
      <c r="S24" s="2"/>
      <c r="T24" s="2" t="s">
        <v>546</v>
      </c>
    </row>
    <row r="25" spans="1:20" ht="23">
      <c r="A25" s="2" t="s">
        <v>66</v>
      </c>
      <c r="B25" s="2" t="s">
        <v>150</v>
      </c>
      <c r="C25" s="5">
        <v>45016</v>
      </c>
      <c r="D25" s="2" t="s">
        <v>68</v>
      </c>
      <c r="E25" s="2" t="s">
        <v>69</v>
      </c>
      <c r="F25" s="10">
        <f>'TCS Raw Data'!I35</f>
        <v>225458</v>
      </c>
      <c r="G25" s="10">
        <f>'TCS Raw Data'!I36</f>
        <v>136268</v>
      </c>
      <c r="H25" s="10">
        <f>'TCS Raw Data'!I33</f>
        <v>50302</v>
      </c>
      <c r="I25" s="10">
        <f>'TCS Raw Data'!I29</f>
        <v>5831</v>
      </c>
      <c r="J25" s="10">
        <f>'TCS Raw Data'!I30</f>
        <v>28</v>
      </c>
      <c r="K25" s="10">
        <f>'TCS Raw Data'!I31</f>
        <v>10515</v>
      </c>
      <c r="L25" s="10">
        <f>'TCS Raw Data'!I32</f>
        <v>4846</v>
      </c>
      <c r="M25" s="10">
        <f>'TCS Raw Data'!I39</f>
        <v>41965</v>
      </c>
      <c r="N25" s="10">
        <f>'TCS Raw Data'!I37</f>
        <v>54237</v>
      </c>
      <c r="O25" s="10"/>
      <c r="P25" s="10"/>
      <c r="Q25" s="10">
        <f>'TCS Raw Data'!I40</f>
        <v>5022</v>
      </c>
      <c r="R25" s="10">
        <f>'TCS Raw Data'!I38</f>
        <v>42147</v>
      </c>
      <c r="S25" s="2"/>
      <c r="T25" s="2" t="s">
        <v>546</v>
      </c>
    </row>
    <row r="26" spans="1:20" ht="23">
      <c r="A26" s="2" t="s">
        <v>66</v>
      </c>
      <c r="B26" s="2" t="s">
        <v>153</v>
      </c>
      <c r="C26" s="5">
        <v>45382</v>
      </c>
      <c r="D26" s="2" t="s">
        <v>68</v>
      </c>
      <c r="E26" s="2" t="s">
        <v>69</v>
      </c>
      <c r="F26" s="10">
        <f>'TCS Raw Data'!I49</f>
        <v>240893</v>
      </c>
      <c r="G26" s="10">
        <f>'TCS Raw Data'!I50</f>
        <v>143595</v>
      </c>
      <c r="H26" s="10">
        <f>'TCS Raw Data'!I47</f>
        <v>53720</v>
      </c>
      <c r="I26" s="10">
        <f>'TCS Raw Data'!I43</f>
        <v>6141</v>
      </c>
      <c r="J26" s="10">
        <f>'TCS Raw Data'!I44</f>
        <v>28</v>
      </c>
      <c r="K26" s="10">
        <f>'TCS Raw Data'!I45</f>
        <v>9981</v>
      </c>
      <c r="L26" s="10">
        <f>'TCS Raw Data'!I46</f>
        <v>4122</v>
      </c>
      <c r="M26" s="10">
        <f>'TCS Raw Data'!I53</f>
        <v>44338</v>
      </c>
      <c r="N26" s="10">
        <f>'TCS Raw Data'!I51</f>
        <v>58353</v>
      </c>
      <c r="O26" s="10"/>
      <c r="P26" s="10"/>
      <c r="Q26" s="10">
        <f>'TCS Raw Data'!I54</f>
        <v>4985</v>
      </c>
      <c r="R26" s="10">
        <f>'TCS Raw Data'!I52</f>
        <v>45908</v>
      </c>
      <c r="S26" s="2"/>
      <c r="T26" s="2" t="s">
        <v>546</v>
      </c>
    </row>
    <row r="27" spans="1:20" ht="23">
      <c r="A27" s="2" t="s">
        <v>66</v>
      </c>
      <c r="B27" s="2" t="s">
        <v>156</v>
      </c>
      <c r="C27" s="5">
        <v>45747</v>
      </c>
      <c r="D27" s="2" t="s">
        <v>68</v>
      </c>
      <c r="E27" s="2" t="s">
        <v>69</v>
      </c>
      <c r="F27" s="10">
        <f>'TCS Raw Data'!I63</f>
        <v>255324</v>
      </c>
      <c r="G27" s="10">
        <f>'TCS Raw Data'!I64</f>
        <v>155994</v>
      </c>
      <c r="H27" s="10">
        <f>'TCS Raw Data'!I61</f>
        <v>59175</v>
      </c>
      <c r="I27" s="10">
        <f>'TCS Raw Data'!I57</f>
        <v>6528</v>
      </c>
      <c r="J27" s="10">
        <f>'TCS Raw Data'!I58</f>
        <v>21</v>
      </c>
      <c r="K27" s="10">
        <f>'TCS Raw Data'!I59</f>
        <v>13909</v>
      </c>
      <c r="L27" s="10">
        <f>'TCS Raw Data'!I60</f>
        <v>4546</v>
      </c>
      <c r="M27" s="10">
        <f>'TCS Raw Data'!I67</f>
        <v>48908</v>
      </c>
      <c r="N27" s="10">
        <f>'TCS Raw Data'!I65</f>
        <v>62165</v>
      </c>
      <c r="O27" s="10"/>
      <c r="P27" s="10"/>
      <c r="Q27" s="10">
        <f>'TCS Raw Data'!I68</f>
        <v>5242</v>
      </c>
      <c r="R27" s="10">
        <f>'TCS Raw Data'!I66</f>
        <v>48553</v>
      </c>
      <c r="S27" s="2"/>
      <c r="T27" s="2" t="s">
        <v>546</v>
      </c>
    </row>
    <row r="28" spans="1:20" ht="23">
      <c r="A28" s="2" t="s">
        <v>66</v>
      </c>
      <c r="B28" s="2" t="s">
        <v>284</v>
      </c>
      <c r="C28" s="5">
        <v>46112</v>
      </c>
      <c r="D28" s="2" t="s">
        <v>68</v>
      </c>
      <c r="E28" s="2" t="s">
        <v>69</v>
      </c>
      <c r="F28" s="10">
        <f>'TCS Raw Data'!I77</f>
        <v>267021</v>
      </c>
      <c r="G28" s="10">
        <f>'TCS Raw Data'!I78</f>
        <v>159989</v>
      </c>
      <c r="H28" s="10">
        <f>'TCS Raw Data'!I75</f>
        <v>67927</v>
      </c>
      <c r="I28" s="10">
        <f>'TCS Raw Data'!I71</f>
        <v>7946</v>
      </c>
      <c r="J28" s="10">
        <f>'TCS Raw Data'!I72</f>
        <v>29</v>
      </c>
      <c r="K28" s="10">
        <f>'TCS Raw Data'!I73</f>
        <v>14808</v>
      </c>
      <c r="L28" s="10">
        <f>'TCS Raw Data'!I74</f>
        <v>5134</v>
      </c>
      <c r="M28" s="10">
        <f>'TCS Raw Data'!I82</f>
        <v>52094</v>
      </c>
      <c r="N28" s="10">
        <f>'TCS Raw Data'!I84</f>
        <v>62312</v>
      </c>
      <c r="O28" s="10"/>
      <c r="P28" s="10"/>
      <c r="Q28" s="10">
        <f>'TCS Raw Data'!I83</f>
        <v>5560</v>
      </c>
      <c r="R28" s="10">
        <f>'TCS Raw Data'!I81</f>
        <v>49210</v>
      </c>
      <c r="S28" s="2" t="s">
        <v>547</v>
      </c>
      <c r="T28" s="2" t="s">
        <v>546</v>
      </c>
    </row>
  </sheetData>
  <mergeCells count="2">
    <mergeCell ref="A1:T1"/>
    <mergeCell ref="A2:T2"/>
  </mergeCells>
  <conditionalFormatting sqref="S5:S28">
    <cfRule type="expression" dxfId="2" priority="1">
      <formula>LEN(S5)&gt;0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2"/>
  <sheetViews>
    <sheetView workbookViewId="0">
      <selection activeCell="B59" sqref="B59"/>
    </sheetView>
  </sheetViews>
  <sheetFormatPr defaultRowHeight="14"/>
  <cols>
    <col min="1" max="1" width="18" customWidth="1"/>
    <col min="2" max="2" width="32" customWidth="1"/>
    <col min="3" max="3" width="22" customWidth="1"/>
    <col min="4" max="4" width="46" customWidth="1"/>
    <col min="5" max="5" width="36" customWidth="1"/>
    <col min="6" max="6" width="32" customWidth="1"/>
    <col min="7" max="7" width="34" customWidth="1"/>
    <col min="8" max="8" width="16" customWidth="1"/>
  </cols>
  <sheetData>
    <row r="1" spans="1:8" ht="17.399999999999999" customHeight="1">
      <c r="A1" s="13" t="s">
        <v>637</v>
      </c>
      <c r="B1" s="13"/>
      <c r="C1" s="13"/>
      <c r="D1" s="13"/>
      <c r="E1" s="13"/>
      <c r="F1" s="13"/>
      <c r="G1" s="13"/>
      <c r="H1" s="13"/>
    </row>
    <row r="2" spans="1:8" ht="16" customHeight="1">
      <c r="A2" s="14" t="s">
        <v>548</v>
      </c>
      <c r="B2" s="14"/>
      <c r="C2" s="14"/>
      <c r="D2" s="14"/>
      <c r="E2" s="14"/>
      <c r="F2" s="14"/>
      <c r="G2" s="14"/>
      <c r="H2" s="14"/>
    </row>
    <row r="4" spans="1:8">
      <c r="A4" s="15" t="s">
        <v>549</v>
      </c>
      <c r="B4" s="15"/>
      <c r="C4" s="15"/>
      <c r="D4" s="15"/>
      <c r="E4" s="15"/>
      <c r="F4" s="15"/>
      <c r="G4" s="15"/>
      <c r="H4" s="15"/>
    </row>
    <row r="5" spans="1:8" ht="20" customHeight="1">
      <c r="A5" s="1" t="s">
        <v>32</v>
      </c>
      <c r="B5" s="1" t="s">
        <v>550</v>
      </c>
      <c r="C5" s="1" t="s">
        <v>551</v>
      </c>
      <c r="D5" s="1" t="s">
        <v>552</v>
      </c>
      <c r="E5" s="1" t="s">
        <v>553</v>
      </c>
      <c r="F5" s="1" t="s">
        <v>554</v>
      </c>
      <c r="G5" s="1" t="s">
        <v>555</v>
      </c>
      <c r="H5" s="1" t="s">
        <v>556</v>
      </c>
    </row>
    <row r="6" spans="1:8" ht="23">
      <c r="A6" s="2" t="s">
        <v>42</v>
      </c>
      <c r="B6" s="2" t="s">
        <v>557</v>
      </c>
      <c r="C6" s="2" t="s">
        <v>558</v>
      </c>
      <c r="D6" s="2" t="s">
        <v>559</v>
      </c>
      <c r="E6" s="2" t="s">
        <v>560</v>
      </c>
      <c r="F6" s="2" t="s">
        <v>561</v>
      </c>
      <c r="G6" s="2" t="s">
        <v>76</v>
      </c>
      <c r="H6" s="2" t="s">
        <v>562</v>
      </c>
    </row>
    <row r="7" spans="1:8" ht="23">
      <c r="A7" s="2" t="s">
        <v>52</v>
      </c>
      <c r="B7" s="2" t="s">
        <v>563</v>
      </c>
      <c r="C7" s="2" t="s">
        <v>558</v>
      </c>
      <c r="D7" s="2" t="s">
        <v>564</v>
      </c>
      <c r="E7" s="2" t="s">
        <v>565</v>
      </c>
      <c r="F7" s="2" t="s">
        <v>566</v>
      </c>
      <c r="G7" s="2" t="s">
        <v>168</v>
      </c>
      <c r="H7" s="2" t="s">
        <v>562</v>
      </c>
    </row>
    <row r="8" spans="1:8" ht="23">
      <c r="A8" s="2" t="s">
        <v>60</v>
      </c>
      <c r="B8" s="2" t="s">
        <v>567</v>
      </c>
      <c r="C8" s="2" t="s">
        <v>558</v>
      </c>
      <c r="D8" s="2" t="s">
        <v>568</v>
      </c>
      <c r="E8" s="2" t="s">
        <v>569</v>
      </c>
      <c r="F8" s="2" t="s">
        <v>570</v>
      </c>
      <c r="G8" s="2" t="s">
        <v>197</v>
      </c>
      <c r="H8" s="2" t="s">
        <v>562</v>
      </c>
    </row>
    <row r="9" spans="1:8" ht="23">
      <c r="A9" s="2" t="s">
        <v>66</v>
      </c>
      <c r="B9" s="2" t="s">
        <v>571</v>
      </c>
      <c r="C9" s="11" t="s">
        <v>572</v>
      </c>
      <c r="D9" s="2" t="s">
        <v>573</v>
      </c>
      <c r="E9" s="2" t="s">
        <v>574</v>
      </c>
      <c r="F9" s="2" t="s">
        <v>575</v>
      </c>
      <c r="G9" s="2" t="s">
        <v>576</v>
      </c>
      <c r="H9" s="2" t="s">
        <v>562</v>
      </c>
    </row>
    <row r="11" spans="1:8">
      <c r="A11" s="15" t="s">
        <v>577</v>
      </c>
      <c r="B11" s="15"/>
      <c r="C11" s="15"/>
      <c r="D11" s="15"/>
      <c r="E11" s="15"/>
      <c r="F11" s="15"/>
      <c r="G11" s="15"/>
      <c r="H11" s="15"/>
    </row>
    <row r="12" spans="1:8" ht="20" customHeight="1">
      <c r="A12" s="1" t="s">
        <v>32</v>
      </c>
      <c r="B12" s="1" t="s">
        <v>578</v>
      </c>
      <c r="C12" s="1" t="s">
        <v>579</v>
      </c>
      <c r="D12" s="1" t="s">
        <v>580</v>
      </c>
      <c r="E12" s="1" t="s">
        <v>581</v>
      </c>
      <c r="F12" s="1" t="s">
        <v>582</v>
      </c>
      <c r="G12" s="1" t="s">
        <v>583</v>
      </c>
      <c r="H12" s="1" t="s">
        <v>584</v>
      </c>
    </row>
    <row r="13" spans="1:8">
      <c r="A13" s="2" t="s">
        <v>42</v>
      </c>
      <c r="B13" s="2" t="s">
        <v>95</v>
      </c>
      <c r="C13" s="2">
        <v>5</v>
      </c>
      <c r="D13" s="2">
        <v>6</v>
      </c>
      <c r="E13" s="2">
        <v>6</v>
      </c>
      <c r="F13" s="2" t="str">
        <f t="shared" ref="F13:F29" si="0">IF(D13=0,"N/A",IF(E13&gt;=D13,"PASS","FAIL"))</f>
        <v>PASS</v>
      </c>
      <c r="G13" s="2" t="s">
        <v>48</v>
      </c>
      <c r="H13" s="2"/>
    </row>
    <row r="14" spans="1:8">
      <c r="A14" s="2" t="s">
        <v>42</v>
      </c>
      <c r="B14" s="2" t="s">
        <v>117</v>
      </c>
      <c r="C14" s="2">
        <v>5</v>
      </c>
      <c r="D14" s="2">
        <v>6</v>
      </c>
      <c r="E14" s="2">
        <v>6</v>
      </c>
      <c r="F14" s="2" t="str">
        <f t="shared" si="0"/>
        <v>PASS</v>
      </c>
      <c r="G14" s="2" t="s">
        <v>48</v>
      </c>
      <c r="H14" s="2"/>
    </row>
    <row r="15" spans="1:8">
      <c r="A15" s="2" t="s">
        <v>42</v>
      </c>
      <c r="B15" s="2" t="s">
        <v>108</v>
      </c>
      <c r="C15" s="2">
        <v>5</v>
      </c>
      <c r="D15" s="2">
        <v>6</v>
      </c>
      <c r="E15" s="2">
        <v>6</v>
      </c>
      <c r="F15" s="2" t="str">
        <f t="shared" si="0"/>
        <v>PASS</v>
      </c>
      <c r="G15" s="2" t="s">
        <v>48</v>
      </c>
      <c r="H15" s="2"/>
    </row>
    <row r="16" spans="1:8">
      <c r="A16" s="2" t="s">
        <v>42</v>
      </c>
      <c r="B16" s="2" t="s">
        <v>122</v>
      </c>
      <c r="C16" s="2">
        <v>5</v>
      </c>
      <c r="D16" s="2">
        <v>6</v>
      </c>
      <c r="E16" s="2">
        <v>6</v>
      </c>
      <c r="F16" s="2" t="str">
        <f t="shared" si="0"/>
        <v>PASS</v>
      </c>
      <c r="G16" s="2" t="s">
        <v>48</v>
      </c>
      <c r="H16" s="2"/>
    </row>
    <row r="17" spans="1:8" ht="23">
      <c r="A17" s="2" t="s">
        <v>52</v>
      </c>
      <c r="B17" s="2" t="s">
        <v>95</v>
      </c>
      <c r="C17" s="2">
        <v>5</v>
      </c>
      <c r="D17" s="2">
        <v>6</v>
      </c>
      <c r="E17" s="2">
        <v>6</v>
      </c>
      <c r="F17" s="2" t="str">
        <f t="shared" si="0"/>
        <v>PASS</v>
      </c>
      <c r="G17" s="2" t="s">
        <v>58</v>
      </c>
      <c r="H17" s="2" t="s">
        <v>585</v>
      </c>
    </row>
    <row r="18" spans="1:8" ht="23">
      <c r="A18" s="2" t="s">
        <v>52</v>
      </c>
      <c r="B18" s="2" t="s">
        <v>117</v>
      </c>
      <c r="C18" s="2">
        <v>5</v>
      </c>
      <c r="D18" s="2">
        <v>6</v>
      </c>
      <c r="E18" s="2">
        <v>6</v>
      </c>
      <c r="F18" s="2" t="str">
        <f t="shared" si="0"/>
        <v>PASS</v>
      </c>
      <c r="G18" s="2" t="s">
        <v>58</v>
      </c>
      <c r="H18" s="2" t="s">
        <v>585</v>
      </c>
    </row>
    <row r="19" spans="1:8" ht="23">
      <c r="A19" s="2" t="s">
        <v>52</v>
      </c>
      <c r="B19" s="2" t="s">
        <v>108</v>
      </c>
      <c r="C19" s="2">
        <v>5</v>
      </c>
      <c r="D19" s="2">
        <v>6</v>
      </c>
      <c r="E19" s="2">
        <v>6</v>
      </c>
      <c r="F19" s="2" t="str">
        <f t="shared" si="0"/>
        <v>PASS</v>
      </c>
      <c r="G19" s="2" t="s">
        <v>58</v>
      </c>
      <c r="H19" s="2" t="s">
        <v>585</v>
      </c>
    </row>
    <row r="20" spans="1:8" ht="23">
      <c r="A20" s="2" t="s">
        <v>52</v>
      </c>
      <c r="B20" s="2" t="s">
        <v>122</v>
      </c>
      <c r="C20" s="2">
        <v>5</v>
      </c>
      <c r="D20" s="2">
        <v>6</v>
      </c>
      <c r="E20" s="2">
        <v>6</v>
      </c>
      <c r="F20" s="2" t="str">
        <f t="shared" si="0"/>
        <v>PASS</v>
      </c>
      <c r="G20" s="2" t="s">
        <v>58</v>
      </c>
      <c r="H20" s="2" t="s">
        <v>585</v>
      </c>
    </row>
    <row r="21" spans="1:8">
      <c r="A21" s="2" t="s">
        <v>60</v>
      </c>
      <c r="B21" s="2" t="s">
        <v>95</v>
      </c>
      <c r="C21" s="2">
        <v>5</v>
      </c>
      <c r="D21" s="2">
        <v>6</v>
      </c>
      <c r="E21" s="2">
        <v>6</v>
      </c>
      <c r="F21" s="2" t="str">
        <f t="shared" si="0"/>
        <v>PASS</v>
      </c>
      <c r="G21" s="2" t="s">
        <v>48</v>
      </c>
      <c r="H21" s="2"/>
    </row>
    <row r="22" spans="1:8">
      <c r="A22" s="2" t="s">
        <v>60</v>
      </c>
      <c r="B22" s="2" t="s">
        <v>117</v>
      </c>
      <c r="C22" s="2">
        <v>5</v>
      </c>
      <c r="D22" s="2">
        <v>6</v>
      </c>
      <c r="E22" s="2">
        <v>6</v>
      </c>
      <c r="F22" s="2" t="str">
        <f t="shared" si="0"/>
        <v>PASS</v>
      </c>
      <c r="G22" s="2" t="s">
        <v>48</v>
      </c>
      <c r="H22" s="2"/>
    </row>
    <row r="23" spans="1:8">
      <c r="A23" s="2" t="s">
        <v>60</v>
      </c>
      <c r="B23" s="2" t="s">
        <v>122</v>
      </c>
      <c r="C23" s="2">
        <v>5</v>
      </c>
      <c r="D23" s="2">
        <v>6</v>
      </c>
      <c r="E23" s="2">
        <v>6</v>
      </c>
      <c r="F23" s="2" t="str">
        <f t="shared" si="0"/>
        <v>PASS</v>
      </c>
      <c r="G23" s="2" t="s">
        <v>48</v>
      </c>
      <c r="H23" s="2"/>
    </row>
    <row r="24" spans="1:8" ht="34.5">
      <c r="A24" s="2" t="s">
        <v>60</v>
      </c>
      <c r="B24" s="2" t="s">
        <v>108</v>
      </c>
      <c r="C24" s="2">
        <v>0</v>
      </c>
      <c r="D24" s="2">
        <v>0</v>
      </c>
      <c r="E24" s="2">
        <v>0</v>
      </c>
      <c r="F24" s="2" t="str">
        <f t="shared" si="0"/>
        <v>N/A</v>
      </c>
      <c r="G24" s="2" t="s">
        <v>586</v>
      </c>
      <c r="H24" s="2" t="s">
        <v>587</v>
      </c>
    </row>
    <row r="25" spans="1:8" ht="23">
      <c r="A25" s="2" t="s">
        <v>66</v>
      </c>
      <c r="B25" s="2" t="s">
        <v>95</v>
      </c>
      <c r="C25" s="2">
        <v>5</v>
      </c>
      <c r="D25" s="2">
        <v>6</v>
      </c>
      <c r="E25" s="2">
        <v>6</v>
      </c>
      <c r="F25" s="2" t="str">
        <f t="shared" si="0"/>
        <v>PASS</v>
      </c>
      <c r="G25" s="2" t="s">
        <v>72</v>
      </c>
      <c r="H25" s="2" t="s">
        <v>588</v>
      </c>
    </row>
    <row r="26" spans="1:8" ht="23">
      <c r="A26" s="2" t="s">
        <v>66</v>
      </c>
      <c r="B26" s="2" t="s">
        <v>117</v>
      </c>
      <c r="C26" s="2">
        <v>5</v>
      </c>
      <c r="D26" s="2">
        <v>6</v>
      </c>
      <c r="E26" s="2">
        <v>6</v>
      </c>
      <c r="F26" s="2" t="str">
        <f t="shared" si="0"/>
        <v>PASS</v>
      </c>
      <c r="G26" s="2" t="s">
        <v>72</v>
      </c>
      <c r="H26" s="2" t="s">
        <v>588</v>
      </c>
    </row>
    <row r="27" spans="1:8" ht="23">
      <c r="A27" s="2" t="s">
        <v>66</v>
      </c>
      <c r="B27" s="2" t="s">
        <v>161</v>
      </c>
      <c r="C27" s="2">
        <v>5</v>
      </c>
      <c r="D27" s="2">
        <v>6</v>
      </c>
      <c r="E27" s="2">
        <v>6</v>
      </c>
      <c r="F27" s="2" t="str">
        <f t="shared" si="0"/>
        <v>PASS</v>
      </c>
      <c r="G27" s="2" t="s">
        <v>72</v>
      </c>
      <c r="H27" s="2" t="s">
        <v>588</v>
      </c>
    </row>
    <row r="28" spans="1:8" ht="23">
      <c r="A28" s="2" t="s">
        <v>66</v>
      </c>
      <c r="B28" s="2" t="s">
        <v>108</v>
      </c>
      <c r="C28" s="2">
        <v>5</v>
      </c>
      <c r="D28" s="2">
        <v>6</v>
      </c>
      <c r="E28" s="2">
        <v>6</v>
      </c>
      <c r="F28" s="2" t="str">
        <f t="shared" si="0"/>
        <v>PASS</v>
      </c>
      <c r="G28" s="2" t="s">
        <v>72</v>
      </c>
      <c r="H28" s="2" t="s">
        <v>588</v>
      </c>
    </row>
    <row r="29" spans="1:8" ht="23">
      <c r="A29" s="2" t="s">
        <v>66</v>
      </c>
      <c r="B29" s="2" t="s">
        <v>122</v>
      </c>
      <c r="C29" s="2">
        <v>5</v>
      </c>
      <c r="D29" s="2">
        <v>6</v>
      </c>
      <c r="E29" s="2">
        <v>6</v>
      </c>
      <c r="F29" s="2" t="str">
        <f t="shared" si="0"/>
        <v>PASS</v>
      </c>
      <c r="G29" s="2" t="s">
        <v>72</v>
      </c>
      <c r="H29" s="2" t="s">
        <v>588</v>
      </c>
    </row>
    <row r="31" spans="1:8">
      <c r="A31" s="15" t="s">
        <v>589</v>
      </c>
      <c r="B31" s="15"/>
      <c r="C31" s="15"/>
      <c r="D31" s="15"/>
      <c r="E31" s="15"/>
      <c r="F31" s="15"/>
      <c r="G31" s="15"/>
      <c r="H31" s="15"/>
    </row>
    <row r="32" spans="1:8" ht="20" customHeight="1">
      <c r="A32" s="1" t="s">
        <v>590</v>
      </c>
      <c r="B32" s="1" t="s">
        <v>591</v>
      </c>
      <c r="C32" s="1" t="s">
        <v>592</v>
      </c>
      <c r="D32" s="1" t="s">
        <v>593</v>
      </c>
    </row>
    <row r="33" spans="1:8" ht="34.5">
      <c r="A33" s="2" t="s">
        <v>594</v>
      </c>
      <c r="B33" s="2" t="s">
        <v>562</v>
      </c>
      <c r="C33" s="2" t="s">
        <v>595</v>
      </c>
      <c r="D33" s="2" t="s">
        <v>596</v>
      </c>
    </row>
    <row r="34" spans="1:8" ht="34.5">
      <c r="A34" s="2" t="s">
        <v>597</v>
      </c>
      <c r="B34" s="2" t="s">
        <v>562</v>
      </c>
      <c r="C34" s="2" t="s">
        <v>598</v>
      </c>
      <c r="D34" s="2" t="s">
        <v>599</v>
      </c>
    </row>
    <row r="35" spans="1:8" ht="23">
      <c r="A35" s="2" t="s">
        <v>600</v>
      </c>
      <c r="B35" s="2" t="s">
        <v>562</v>
      </c>
      <c r="C35" s="2" t="s">
        <v>601</v>
      </c>
      <c r="D35" s="2" t="s">
        <v>602</v>
      </c>
    </row>
    <row r="36" spans="1:8" ht="34.5">
      <c r="A36" s="2" t="s">
        <v>603</v>
      </c>
      <c r="B36" s="2" t="s">
        <v>562</v>
      </c>
      <c r="C36" s="2" t="s">
        <v>604</v>
      </c>
      <c r="D36" s="2" t="s">
        <v>605</v>
      </c>
    </row>
    <row r="37" spans="1:8" ht="34.5">
      <c r="A37" s="2" t="s">
        <v>606</v>
      </c>
      <c r="B37" s="2" t="s">
        <v>607</v>
      </c>
      <c r="C37" s="2" t="s">
        <v>608</v>
      </c>
      <c r="D37" s="2" t="s">
        <v>609</v>
      </c>
    </row>
    <row r="38" spans="1:8" ht="34.5">
      <c r="A38" s="2" t="s">
        <v>610</v>
      </c>
      <c r="B38" s="2" t="s">
        <v>607</v>
      </c>
      <c r="C38" s="2" t="s">
        <v>611</v>
      </c>
      <c r="D38" s="2" t="s">
        <v>612</v>
      </c>
    </row>
    <row r="40" spans="1:8">
      <c r="A40" s="15" t="s">
        <v>613</v>
      </c>
      <c r="B40" s="15"/>
      <c r="C40" s="15"/>
      <c r="D40" s="15"/>
      <c r="E40" s="15"/>
      <c r="F40" s="15"/>
      <c r="G40" s="15"/>
      <c r="H40" s="15"/>
    </row>
    <row r="41" spans="1:8" ht="20" customHeight="1">
      <c r="A41" s="1" t="s">
        <v>614</v>
      </c>
      <c r="B41" s="1" t="s">
        <v>615</v>
      </c>
      <c r="C41" s="1" t="s">
        <v>551</v>
      </c>
      <c r="D41" s="1" t="s">
        <v>584</v>
      </c>
    </row>
    <row r="42" spans="1:8">
      <c r="A42" s="2">
        <v>1</v>
      </c>
      <c r="B42" s="2" t="s">
        <v>616</v>
      </c>
      <c r="C42" s="12" t="s">
        <v>558</v>
      </c>
      <c r="D42" s="2"/>
    </row>
    <row r="43" spans="1:8" ht="23">
      <c r="A43" s="2">
        <v>2</v>
      </c>
      <c r="B43" s="2" t="s">
        <v>617</v>
      </c>
      <c r="C43" s="12" t="s">
        <v>558</v>
      </c>
      <c r="D43" s="2"/>
    </row>
    <row r="44" spans="1:8">
      <c r="A44" s="2">
        <v>3</v>
      </c>
      <c r="B44" s="2" t="s">
        <v>618</v>
      </c>
      <c r="C44" s="12" t="s">
        <v>558</v>
      </c>
      <c r="D44" s="2"/>
    </row>
    <row r="45" spans="1:8">
      <c r="A45" s="2">
        <v>4</v>
      </c>
      <c r="B45" s="2" t="s">
        <v>619</v>
      </c>
      <c r="C45" s="12" t="s">
        <v>558</v>
      </c>
      <c r="D45" s="2"/>
    </row>
    <row r="46" spans="1:8">
      <c r="A46" s="2">
        <v>5</v>
      </c>
      <c r="B46" s="2" t="s">
        <v>620</v>
      </c>
      <c r="C46" s="12" t="s">
        <v>558</v>
      </c>
      <c r="D46" s="2"/>
    </row>
    <row r="47" spans="1:8">
      <c r="A47" s="2">
        <v>6</v>
      </c>
      <c r="B47" s="2" t="s">
        <v>621</v>
      </c>
      <c r="C47" s="12" t="s">
        <v>558</v>
      </c>
      <c r="D47" s="2"/>
    </row>
    <row r="48" spans="1:8">
      <c r="A48" s="2">
        <v>7</v>
      </c>
      <c r="B48" s="2" t="s">
        <v>622</v>
      </c>
      <c r="C48" s="12" t="s">
        <v>558</v>
      </c>
      <c r="D48" s="2"/>
    </row>
    <row r="49" spans="1:4">
      <c r="A49" s="2">
        <v>8</v>
      </c>
      <c r="B49" s="2" t="s">
        <v>623</v>
      </c>
      <c r="C49" s="12" t="s">
        <v>558</v>
      </c>
      <c r="D49" s="2"/>
    </row>
    <row r="50" spans="1:4">
      <c r="A50" s="2">
        <v>9</v>
      </c>
      <c r="B50" s="2" t="s">
        <v>624</v>
      </c>
      <c r="C50" s="12" t="s">
        <v>558</v>
      </c>
      <c r="D50" s="2"/>
    </row>
    <row r="51" spans="1:4">
      <c r="A51" s="2">
        <v>10</v>
      </c>
      <c r="B51" s="2" t="s">
        <v>625</v>
      </c>
      <c r="C51" s="12" t="s">
        <v>558</v>
      </c>
      <c r="D51" s="2"/>
    </row>
    <row r="52" spans="1:4">
      <c r="A52" s="2">
        <v>11</v>
      </c>
      <c r="B52" s="2" t="s">
        <v>626</v>
      </c>
      <c r="C52" s="12" t="s">
        <v>558</v>
      </c>
      <c r="D52" s="2"/>
    </row>
    <row r="53" spans="1:4">
      <c r="A53" s="2">
        <v>12</v>
      </c>
      <c r="B53" s="2" t="s">
        <v>627</v>
      </c>
      <c r="C53" s="12" t="s">
        <v>558</v>
      </c>
      <c r="D53" s="2"/>
    </row>
    <row r="54" spans="1:4" ht="23">
      <c r="A54" s="2">
        <v>13</v>
      </c>
      <c r="B54" s="2" t="s">
        <v>628</v>
      </c>
      <c r="C54" s="12" t="s">
        <v>558</v>
      </c>
      <c r="D54" s="2"/>
    </row>
    <row r="55" spans="1:4">
      <c r="A55" s="2">
        <v>14</v>
      </c>
      <c r="B55" s="2" t="s">
        <v>629</v>
      </c>
      <c r="C55" s="12" t="s">
        <v>558</v>
      </c>
      <c r="D55" s="2"/>
    </row>
    <row r="56" spans="1:4">
      <c r="A56" s="2">
        <v>15</v>
      </c>
      <c r="B56" s="2" t="s">
        <v>630</v>
      </c>
      <c r="C56" s="12" t="s">
        <v>558</v>
      </c>
      <c r="D56" s="2"/>
    </row>
    <row r="57" spans="1:4" ht="23">
      <c r="A57" s="2">
        <v>16</v>
      </c>
      <c r="B57" s="2" t="s">
        <v>631</v>
      </c>
      <c r="C57" s="12" t="s">
        <v>558</v>
      </c>
      <c r="D57" s="2"/>
    </row>
    <row r="58" spans="1:4">
      <c r="A58" s="2">
        <v>17</v>
      </c>
      <c r="B58" s="2" t="s">
        <v>632</v>
      </c>
      <c r="C58" s="12" t="s">
        <v>558</v>
      </c>
      <c r="D58" s="2"/>
    </row>
    <row r="59" spans="1:4">
      <c r="A59" s="2">
        <v>18</v>
      </c>
      <c r="B59" s="2" t="s">
        <v>633</v>
      </c>
      <c r="C59" s="12" t="s">
        <v>558</v>
      </c>
      <c r="D59" s="2"/>
    </row>
    <row r="60" spans="1:4">
      <c r="A60" s="2">
        <v>19</v>
      </c>
      <c r="B60" s="2" t="s">
        <v>634</v>
      </c>
      <c r="C60" s="12" t="s">
        <v>558</v>
      </c>
      <c r="D60" s="2"/>
    </row>
    <row r="61" spans="1:4">
      <c r="A61" s="2">
        <v>20</v>
      </c>
      <c r="B61" s="2" t="s">
        <v>635</v>
      </c>
      <c r="C61" s="12" t="s">
        <v>558</v>
      </c>
      <c r="D61" s="2"/>
    </row>
    <row r="62" spans="1:4">
      <c r="A62" s="2">
        <v>21</v>
      </c>
      <c r="B62" s="2" t="s">
        <v>636</v>
      </c>
      <c r="C62" s="12" t="s">
        <v>558</v>
      </c>
      <c r="D62" s="2"/>
    </row>
  </sheetData>
  <mergeCells count="6">
    <mergeCell ref="A40:H40"/>
    <mergeCell ref="A1:H1"/>
    <mergeCell ref="A2:H2"/>
    <mergeCell ref="A4:H4"/>
    <mergeCell ref="A11:H11"/>
    <mergeCell ref="A31:H31"/>
  </mergeCells>
  <conditionalFormatting sqref="F13:F29">
    <cfRule type="expression" dxfId="1" priority="1">
      <formula>F13="PASS"</formula>
    </cfRule>
    <cfRule type="expression" dxfId="0" priority="2">
      <formula>F13="FAIL"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Peer Reporting Profile</vt:lpstr>
      <vt:lpstr>Accenture Raw Data</vt:lpstr>
      <vt:lpstr>Capgemini Raw Data</vt:lpstr>
      <vt:lpstr>CGI Raw Data</vt:lpstr>
      <vt:lpstr>TCS Raw Data</vt:lpstr>
      <vt:lpstr>Adjustments &amp; Mapping</vt:lpstr>
      <vt:lpstr>Structural &amp; Data Quality Flags</vt:lpstr>
      <vt:lpstr>Sources</vt:lpstr>
      <vt:lpstr>Completeness Matrix</vt:lpstr>
      <vt:lpstr>Consolidated Peer Raw Data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Ngo</cp:lastModifiedBy>
  <dcterms:modified xsi:type="dcterms:W3CDTF">2026-09-19T16:11:31Z</dcterms:modified>
</cp:coreProperties>
</file>