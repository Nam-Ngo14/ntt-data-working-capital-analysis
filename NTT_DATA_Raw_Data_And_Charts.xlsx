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ln07\Downloads\"/>
    </mc:Choice>
  </mc:AlternateContent>
  <xr:revisionPtr revIDLastSave="0" documentId="13_ncr:1_{E7D7E06F-C6A7-41AE-8045-726E881B005F}" xr6:coauthVersionLast="47" xr6:coauthVersionMax="47" xr10:uidLastSave="{00000000-0000-0000-0000-000000000000}"/>
  <bookViews>
    <workbookView xWindow="-110" yWindow="-110" windowWidth="23260" windowHeight="14860" firstSheet="9" activeTab="13" xr2:uid="{00000000-000D-0000-FFFF-FFFF00000000}"/>
  </bookViews>
  <sheets>
    <sheet name="README" sheetId="1" r:id="rId1"/>
    <sheet name="NTT DATA Financials" sheetId="2" r:id="rId2"/>
    <sheet name="Working Capital" sheetId="3" r:id="rId3"/>
    <sheet name="Cash Flow" sheetId="4" r:id="rId4"/>
    <sheet name="Segments" sheetId="5" r:id="rId5"/>
    <sheet name="Orders &amp; Backlog" sheetId="6" r:id="rId6"/>
    <sheet name="Debt &amp; Financing" sheetId="7" r:id="rId7"/>
    <sheet name="Acq &amp; Structural Changes" sheetId="8" r:id="rId8"/>
    <sheet name="Qualitative Evidence" sheetId="9" r:id="rId9"/>
    <sheet name="Sources" sheetId="10" r:id="rId10"/>
    <sheet name="Assumptions &amp; Limitations" sheetId="11" r:id="rId11"/>
    <sheet name="Model Setup" sheetId="12" r:id="rId12"/>
    <sheet name="Model" sheetId="13" r:id="rId13"/>
    <sheet name="Summary"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6" i="14" l="1"/>
  <c r="A26" i="14"/>
  <c r="S25" i="14"/>
  <c r="A25" i="14"/>
  <c r="S24" i="14"/>
  <c r="A24" i="14"/>
  <c r="S23" i="14"/>
  <c r="A23" i="14"/>
  <c r="S22" i="14"/>
  <c r="A22" i="14"/>
  <c r="S19" i="14"/>
  <c r="S18" i="14"/>
  <c r="S17" i="14"/>
  <c r="S16" i="14"/>
  <c r="S15" i="14"/>
  <c r="S14" i="14"/>
  <c r="T10" i="14"/>
  <c r="S10" i="14"/>
  <c r="S9" i="14"/>
  <c r="S8" i="14"/>
  <c r="S7" i="14"/>
  <c r="S6" i="14"/>
  <c r="S5" i="14"/>
  <c r="I5" i="14"/>
  <c r="H5" i="14"/>
  <c r="G5" i="14"/>
  <c r="F5" i="14"/>
  <c r="E5" i="14"/>
  <c r="D5" i="14"/>
  <c r="C5" i="14"/>
  <c r="B5" i="14"/>
  <c r="A5" i="14"/>
  <c r="S4" i="14"/>
  <c r="H120" i="13"/>
  <c r="F17" i="14" s="1"/>
  <c r="G120" i="13"/>
  <c r="V7" i="14" s="1"/>
  <c r="F120" i="13"/>
  <c r="D17" i="14" s="1"/>
  <c r="D119" i="13"/>
  <c r="B16" i="14" s="1"/>
  <c r="J118" i="13"/>
  <c r="H15" i="14" s="1"/>
  <c r="I118" i="13"/>
  <c r="G15" i="14" s="1"/>
  <c r="K115" i="13"/>
  <c r="J115" i="13"/>
  <c r="I115" i="13"/>
  <c r="I120" i="13" s="1"/>
  <c r="H115" i="13"/>
  <c r="G115" i="13"/>
  <c r="F115" i="13"/>
  <c r="E115" i="13"/>
  <c r="D115" i="13"/>
  <c r="K114" i="13"/>
  <c r="J114" i="13"/>
  <c r="I114" i="13"/>
  <c r="H114" i="13"/>
  <c r="G114" i="13"/>
  <c r="F114" i="13"/>
  <c r="E114" i="13"/>
  <c r="D114" i="13"/>
  <c r="K113" i="13"/>
  <c r="J113" i="13"/>
  <c r="I113" i="13"/>
  <c r="H113" i="13"/>
  <c r="H118" i="13" s="1"/>
  <c r="G113" i="13"/>
  <c r="F113" i="13"/>
  <c r="E113" i="13"/>
  <c r="D113" i="13"/>
  <c r="K112" i="13"/>
  <c r="K120" i="13" s="1"/>
  <c r="I17" i="14" s="1"/>
  <c r="J112" i="13"/>
  <c r="J119" i="13" s="1"/>
  <c r="I112" i="13"/>
  <c r="I119" i="13" s="1"/>
  <c r="H112" i="13"/>
  <c r="H119" i="13" s="1"/>
  <c r="G112" i="13"/>
  <c r="G118" i="13" s="1"/>
  <c r="F112" i="13"/>
  <c r="F118" i="13" s="1"/>
  <c r="E112" i="13"/>
  <c r="E118" i="13" s="1"/>
  <c r="D112" i="13"/>
  <c r="D118" i="13" s="1"/>
  <c r="K111" i="13"/>
  <c r="J111" i="13"/>
  <c r="I111" i="13"/>
  <c r="H111" i="13"/>
  <c r="G111" i="13"/>
  <c r="F111" i="13"/>
  <c r="E111" i="13"/>
  <c r="D111" i="13"/>
  <c r="C111" i="13"/>
  <c r="K106" i="13"/>
  <c r="I106" i="13"/>
  <c r="G106" i="13"/>
  <c r="G104" i="13"/>
  <c r="E104" i="13"/>
  <c r="E103" i="13"/>
  <c r="K102" i="13"/>
  <c r="K101" i="13"/>
  <c r="I101" i="13"/>
  <c r="I100" i="13"/>
  <c r="G100" i="13"/>
  <c r="K99" i="13"/>
  <c r="J99" i="13"/>
  <c r="I99" i="13"/>
  <c r="H99" i="13"/>
  <c r="G99" i="13"/>
  <c r="F99" i="13"/>
  <c r="E99" i="13"/>
  <c r="D99" i="13"/>
  <c r="C99" i="13"/>
  <c r="M73" i="13"/>
  <c r="M72" i="13"/>
  <c r="M71" i="13"/>
  <c r="M70" i="13"/>
  <c r="M69" i="13"/>
  <c r="M68" i="13"/>
  <c r="M67" i="13"/>
  <c r="M56" i="13"/>
  <c r="M55" i="13"/>
  <c r="M54" i="13"/>
  <c r="M53" i="13"/>
  <c r="M52" i="13"/>
  <c r="M51" i="13"/>
  <c r="M50" i="13"/>
  <c r="M37" i="13"/>
  <c r="M36" i="13"/>
  <c r="M35" i="13"/>
  <c r="M34" i="13"/>
  <c r="M33" i="13"/>
  <c r="D32" i="13"/>
  <c r="D93" i="13" s="1"/>
  <c r="B11" i="14" s="1"/>
  <c r="D30" i="13"/>
  <c r="B6" i="14" s="1"/>
  <c r="I27" i="13"/>
  <c r="I34" i="13" s="1"/>
  <c r="H27" i="13"/>
  <c r="H34" i="13" s="1"/>
  <c r="E27" i="13"/>
  <c r="E34" i="13" s="1"/>
  <c r="G26" i="13"/>
  <c r="G33" i="13" s="1"/>
  <c r="F26" i="13"/>
  <c r="F33" i="13" s="1"/>
  <c r="D26" i="13"/>
  <c r="D33" i="13" s="1"/>
  <c r="B9" i="14" s="1"/>
  <c r="K25" i="13"/>
  <c r="K32" i="13" s="1"/>
  <c r="E25" i="13"/>
  <c r="E32" i="13" s="1"/>
  <c r="D25" i="13"/>
  <c r="I24" i="13"/>
  <c r="I31" i="13" s="1"/>
  <c r="K23" i="13"/>
  <c r="K30" i="13" s="1"/>
  <c r="J23" i="13"/>
  <c r="J30" i="13" s="1"/>
  <c r="G23" i="13"/>
  <c r="G30" i="13" s="1"/>
  <c r="D23" i="13"/>
  <c r="D20" i="13"/>
  <c r="D27" i="13" s="1"/>
  <c r="D34" i="13" s="1"/>
  <c r="B10" i="14" s="1"/>
  <c r="D19" i="13"/>
  <c r="D24" i="13" s="1"/>
  <c r="D31" i="13" s="1"/>
  <c r="K16" i="13"/>
  <c r="K104" i="13" s="1"/>
  <c r="J16" i="13"/>
  <c r="J104" i="13" s="1"/>
  <c r="I16" i="13"/>
  <c r="I104" i="13" s="1"/>
  <c r="H16" i="13"/>
  <c r="H104" i="13" s="1"/>
  <c r="G16" i="13"/>
  <c r="F16" i="13"/>
  <c r="F104" i="13" s="1"/>
  <c r="E16" i="13"/>
  <c r="F27" i="13" s="1"/>
  <c r="F34" i="13" s="1"/>
  <c r="D16" i="13"/>
  <c r="D104" i="13" s="1"/>
  <c r="K15" i="13"/>
  <c r="K103" i="13" s="1"/>
  <c r="J15" i="13"/>
  <c r="K26" i="13" s="1"/>
  <c r="K33" i="13" s="1"/>
  <c r="I9" i="14" s="1"/>
  <c r="I15" i="13"/>
  <c r="I103" i="13" s="1"/>
  <c r="H15" i="13"/>
  <c r="H103" i="13" s="1"/>
  <c r="G15" i="13"/>
  <c r="G103" i="13" s="1"/>
  <c r="F15" i="13"/>
  <c r="F103" i="13" s="1"/>
  <c r="E15" i="13"/>
  <c r="D15" i="13"/>
  <c r="D103" i="13" s="1"/>
  <c r="K14" i="13"/>
  <c r="J14" i="13"/>
  <c r="J102" i="13" s="1"/>
  <c r="I14" i="13"/>
  <c r="J25" i="13" s="1"/>
  <c r="J32" i="13" s="1"/>
  <c r="H14" i="13"/>
  <c r="I25" i="13" s="1"/>
  <c r="I32" i="13" s="1"/>
  <c r="G14" i="13"/>
  <c r="G102" i="13" s="1"/>
  <c r="F14" i="13"/>
  <c r="F102" i="13" s="1"/>
  <c r="E14" i="13"/>
  <c r="E102" i="13" s="1"/>
  <c r="D14" i="13"/>
  <c r="D102" i="13" s="1"/>
  <c r="K13" i="13"/>
  <c r="J13" i="13"/>
  <c r="J101" i="13" s="1"/>
  <c r="I13" i="13"/>
  <c r="J24" i="13" s="1"/>
  <c r="J31" i="13" s="1"/>
  <c r="H13" i="13"/>
  <c r="H101" i="13" s="1"/>
  <c r="G13" i="13"/>
  <c r="H24" i="13" s="1"/>
  <c r="H31" i="13" s="1"/>
  <c r="F13" i="13"/>
  <c r="G24" i="13" s="1"/>
  <c r="G31" i="13" s="1"/>
  <c r="E13" i="13"/>
  <c r="E101" i="13" s="1"/>
  <c r="D13" i="13"/>
  <c r="D101" i="13" s="1"/>
  <c r="K12" i="13"/>
  <c r="K100" i="13" s="1"/>
  <c r="K105" i="13" s="1"/>
  <c r="J12" i="13"/>
  <c r="J100" i="13" s="1"/>
  <c r="I12" i="13"/>
  <c r="H12" i="13"/>
  <c r="H100" i="13" s="1"/>
  <c r="G12" i="13"/>
  <c r="H23" i="13" s="1"/>
  <c r="H30" i="13" s="1"/>
  <c r="F12" i="13"/>
  <c r="F100" i="13" s="1"/>
  <c r="E12" i="13"/>
  <c r="F23" i="13" s="1"/>
  <c r="F30" i="13" s="1"/>
  <c r="D12" i="13"/>
  <c r="E23" i="13" s="1"/>
  <c r="E30" i="13" s="1"/>
  <c r="K11" i="13"/>
  <c r="J11" i="13"/>
  <c r="I11" i="13"/>
  <c r="H11" i="13"/>
  <c r="G11" i="13"/>
  <c r="F11" i="13"/>
  <c r="E11" i="13"/>
  <c r="D11" i="13"/>
  <c r="K10" i="13"/>
  <c r="J10" i="13"/>
  <c r="J106" i="13" s="1"/>
  <c r="I10" i="13"/>
  <c r="H10" i="13"/>
  <c r="H106" i="13" s="1"/>
  <c r="G10" i="13"/>
  <c r="F10" i="13"/>
  <c r="F106" i="13" s="1"/>
  <c r="E10" i="13"/>
  <c r="E106" i="13" s="1"/>
  <c r="D10" i="13"/>
  <c r="D106" i="13" s="1"/>
  <c r="G16" i="14" l="1"/>
  <c r="U9" i="14"/>
  <c r="D26" i="14"/>
  <c r="G8" i="14"/>
  <c r="V26" i="14"/>
  <c r="N71" i="13"/>
  <c r="E9" i="14"/>
  <c r="E24" i="14"/>
  <c r="W24" i="14"/>
  <c r="H16" i="14"/>
  <c r="U10" i="14"/>
  <c r="F16" i="14"/>
  <c r="U8" i="14"/>
  <c r="I8" i="14"/>
  <c r="N73" i="13"/>
  <c r="N54" i="13"/>
  <c r="C25" i="14"/>
  <c r="U25" i="14"/>
  <c r="F7" i="14"/>
  <c r="H8" i="14"/>
  <c r="N72" i="13"/>
  <c r="E23" i="14"/>
  <c r="W23" i="14"/>
  <c r="D9" i="14"/>
  <c r="N36" i="13"/>
  <c r="B25" i="14"/>
  <c r="T25" i="14"/>
  <c r="F6" i="14"/>
  <c r="F23" i="14"/>
  <c r="X23" i="14"/>
  <c r="D10" i="14"/>
  <c r="B24" i="14"/>
  <c r="E6" i="14"/>
  <c r="G93" i="13"/>
  <c r="T24" i="14"/>
  <c r="G94" i="13"/>
  <c r="N35" i="13"/>
  <c r="F22" i="14"/>
  <c r="C10" i="14"/>
  <c r="X22" i="14"/>
  <c r="H105" i="13"/>
  <c r="H6" i="14"/>
  <c r="X25" i="14"/>
  <c r="F10" i="14"/>
  <c r="F25" i="14"/>
  <c r="I13" i="14"/>
  <c r="K107" i="13"/>
  <c r="I14" i="14" s="1"/>
  <c r="T5" i="14"/>
  <c r="C15" i="14"/>
  <c r="D22" i="14"/>
  <c r="N67" i="13"/>
  <c r="V22" i="14"/>
  <c r="C8" i="14"/>
  <c r="T6" i="14"/>
  <c r="D15" i="14"/>
  <c r="T7" i="14"/>
  <c r="E15" i="14"/>
  <c r="U24" i="14"/>
  <c r="N53" i="13"/>
  <c r="E7" i="14"/>
  <c r="C24" i="14"/>
  <c r="D94" i="13"/>
  <c r="B12" i="14" s="1"/>
  <c r="B7" i="14"/>
  <c r="N50" i="13"/>
  <c r="D6" i="14"/>
  <c r="B23" i="14"/>
  <c r="T23" i="14"/>
  <c r="N34" i="13"/>
  <c r="H7" i="14"/>
  <c r="N56" i="13"/>
  <c r="I6" i="14"/>
  <c r="K93" i="13"/>
  <c r="I11" i="14" s="1"/>
  <c r="X26" i="14"/>
  <c r="G10" i="14"/>
  <c r="F26" i="14"/>
  <c r="G17" i="14"/>
  <c r="V9" i="14"/>
  <c r="T8" i="14"/>
  <c r="F15" i="14"/>
  <c r="T22" i="14"/>
  <c r="C6" i="14"/>
  <c r="B22" i="14"/>
  <c r="N33" i="13"/>
  <c r="C26" i="14"/>
  <c r="N55" i="13"/>
  <c r="G7" i="14"/>
  <c r="U26" i="14"/>
  <c r="G105" i="13"/>
  <c r="B15" i="14"/>
  <c r="T4" i="14"/>
  <c r="H26" i="13"/>
  <c r="H33" i="13" s="1"/>
  <c r="F119" i="13"/>
  <c r="K119" i="13"/>
  <c r="I16" i="14" s="1"/>
  <c r="B8" i="14"/>
  <c r="F101" i="13"/>
  <c r="F105" i="13" s="1"/>
  <c r="J103" i="13"/>
  <c r="J105" i="13" s="1"/>
  <c r="I102" i="13"/>
  <c r="I105" i="13" s="1"/>
  <c r="D120" i="13"/>
  <c r="T9" i="14"/>
  <c r="J27" i="13"/>
  <c r="J34" i="13" s="1"/>
  <c r="H10" i="14" s="1"/>
  <c r="D100" i="13"/>
  <c r="D105" i="13" s="1"/>
  <c r="H102" i="13"/>
  <c r="E100" i="13"/>
  <c r="E105" i="13" s="1"/>
  <c r="G101" i="13"/>
  <c r="U4" i="14"/>
  <c r="V8" i="14"/>
  <c r="I23" i="13"/>
  <c r="I30" i="13" s="1"/>
  <c r="K24" i="13"/>
  <c r="K31" i="13" s="1"/>
  <c r="I7" i="14" s="1"/>
  <c r="E26" i="13"/>
  <c r="E33" i="13" s="1"/>
  <c r="G27" i="13"/>
  <c r="G34" i="13" s="1"/>
  <c r="K118" i="13"/>
  <c r="I15" i="14" s="1"/>
  <c r="E120" i="13"/>
  <c r="E119" i="13"/>
  <c r="G119" i="13"/>
  <c r="E17" i="14"/>
  <c r="E24" i="13"/>
  <c r="E31" i="13" s="1"/>
  <c r="H25" i="13"/>
  <c r="H32" i="13" s="1"/>
  <c r="H93" i="13" s="1"/>
  <c r="J26" i="13"/>
  <c r="J33" i="13" s="1"/>
  <c r="H9" i="14" s="1"/>
  <c r="J120" i="13"/>
  <c r="V6" i="14"/>
  <c r="F25" i="13"/>
  <c r="F32" i="13" s="1"/>
  <c r="G25" i="13"/>
  <c r="G32" i="13" s="1"/>
  <c r="I26" i="13"/>
  <c r="I33" i="13" s="1"/>
  <c r="K27" i="13"/>
  <c r="K34" i="13" s="1"/>
  <c r="I10" i="14" s="1"/>
  <c r="F24" i="13"/>
  <c r="F31" i="13" s="1"/>
  <c r="G25" i="14" l="1"/>
  <c r="F11" i="14"/>
  <c r="F107" i="13"/>
  <c r="D13" i="14"/>
  <c r="T16" i="14"/>
  <c r="T19" i="14"/>
  <c r="G13" i="14"/>
  <c r="I107" i="13"/>
  <c r="H13" i="14"/>
  <c r="J107" i="13"/>
  <c r="H14" i="14" s="1"/>
  <c r="C7" i="14"/>
  <c r="C22" i="14"/>
  <c r="N51" i="13"/>
  <c r="U22" i="14"/>
  <c r="I94" i="13"/>
  <c r="T26" i="14"/>
  <c r="B26" i="14"/>
  <c r="N37" i="13"/>
  <c r="I93" i="13"/>
  <c r="G6" i="14"/>
  <c r="C23" i="14"/>
  <c r="U23" i="14"/>
  <c r="N52" i="13"/>
  <c r="D7" i="14"/>
  <c r="E16" i="14"/>
  <c r="U7" i="14"/>
  <c r="F94" i="13"/>
  <c r="J94" i="13"/>
  <c r="H12" i="14" s="1"/>
  <c r="B17" i="14"/>
  <c r="V4" i="14"/>
  <c r="E12" i="14"/>
  <c r="H24" i="14"/>
  <c r="J93" i="13"/>
  <c r="H11" i="14" s="1"/>
  <c r="E11" i="14"/>
  <c r="G24" i="14"/>
  <c r="H94" i="13"/>
  <c r="W26" i="14"/>
  <c r="G9" i="14"/>
  <c r="E26" i="14"/>
  <c r="U5" i="14"/>
  <c r="C16" i="14"/>
  <c r="E107" i="13"/>
  <c r="C13" i="14"/>
  <c r="T15" i="14"/>
  <c r="F13" i="14"/>
  <c r="T18" i="14"/>
  <c r="H107" i="13"/>
  <c r="N70" i="13"/>
  <c r="F8" i="14"/>
  <c r="V25" i="14"/>
  <c r="D25" i="14"/>
  <c r="V24" i="14"/>
  <c r="N69" i="13"/>
  <c r="E8" i="14"/>
  <c r="D24" i="14"/>
  <c r="C17" i="14"/>
  <c r="V5" i="14"/>
  <c r="U6" i="14"/>
  <c r="D16" i="14"/>
  <c r="G107" i="13"/>
  <c r="E13" i="14"/>
  <c r="T17" i="14"/>
  <c r="D23" i="14"/>
  <c r="V23" i="14"/>
  <c r="N68" i="13"/>
  <c r="D8" i="14"/>
  <c r="T14" i="14"/>
  <c r="D107" i="13"/>
  <c r="B13" i="14"/>
  <c r="E94" i="13"/>
  <c r="E25" i="14"/>
  <c r="F9" i="14"/>
  <c r="W25" i="14"/>
  <c r="F93" i="13"/>
  <c r="E10" i="14"/>
  <c r="F24" i="14"/>
  <c r="X24" i="14"/>
  <c r="H17" i="14"/>
  <c r="V10" i="14"/>
  <c r="E22" i="14"/>
  <c r="W22" i="14"/>
  <c r="C9" i="14"/>
  <c r="E93" i="13"/>
  <c r="K94" i="13"/>
  <c r="I12" i="14" s="1"/>
  <c r="G26" i="14" l="1"/>
  <c r="G11" i="14"/>
  <c r="H25" i="14"/>
  <c r="F12" i="14"/>
  <c r="U17" i="14"/>
  <c r="E14" i="14"/>
  <c r="U14" i="14"/>
  <c r="B14" i="14"/>
  <c r="U18" i="14"/>
  <c r="F14" i="14"/>
  <c r="G12" i="14"/>
  <c r="H26" i="14"/>
  <c r="U19" i="14"/>
  <c r="G14" i="14"/>
  <c r="C11" i="14"/>
  <c r="G22" i="14"/>
  <c r="U16" i="14"/>
  <c r="D14" i="14"/>
  <c r="C12" i="14"/>
  <c r="H22" i="14"/>
  <c r="D12" i="14"/>
  <c r="H23" i="14"/>
  <c r="U15" i="14"/>
  <c r="C14" i="14"/>
  <c r="D11" i="14"/>
  <c r="G23" i="14"/>
</calcChain>
</file>

<file path=xl/sharedStrings.xml><?xml version="1.0" encoding="utf-8"?>
<sst xmlns="http://schemas.openxmlformats.org/spreadsheetml/2006/main" count="3235" uniqueCount="1037">
  <si>
    <t>NTT DATA — Phase 1 Raw-Data Database | FY2015–FY2025</t>
  </si>
  <si>
    <t>SEARCH → VERIFY → EXTRACT → DOCUMENT → ORGANIZE. Raw reported data only; no DSO/DPO/DIO/CCC or final working-capital judgement.</t>
  </si>
  <si>
    <t>PROJECT SCOPE</t>
  </si>
  <si>
    <t>Research question</t>
  </si>
  <si>
    <t>How efficiently does NTT DATA convert operations and project work into cash compared with peers, where are the main working-capital inefficiencies/advantages, and what could improvement be worth financially?</t>
  </si>
  <si>
    <t>Current phase</t>
  </si>
  <si>
    <t>NTT DATA raw data only. Peer data and ratio/model calculations are intentionally excluded.</t>
  </si>
  <si>
    <t>Coverage</t>
  </si>
  <si>
    <t>FY2015–FY2025 inclusive. FY means the fiscal year ending March 31 of the succeeding calendar year.</t>
  </si>
  <si>
    <t>Currency / units</t>
  </si>
  <si>
    <t>JPY only. Core amount tables are mechanically standardized to ¥ million; no JPY→USD/EUR conversion.</t>
  </si>
  <si>
    <t>Accounting basis</t>
  </si>
  <si>
    <t>Main series: Japanese GAAP FY2015–FY2017; IFRS FY2018 onward.</t>
  </si>
  <si>
    <t>FY2017 bridge</t>
  </si>
  <si>
    <t>IFRS-restated FY2017 values are used only where needed for contract assets/liabilities and are explicitly flagged rather than mixed silently.</t>
  </si>
  <si>
    <t>FY2025 precision</t>
  </si>
  <si>
    <t>Retrieved FY2025 presentation reports many values in ¥bn to one decimal; these are mechanically multiplied by 1,000 to ¥mm and flagged as rounded.</t>
  </si>
  <si>
    <t>Missing data</t>
  </si>
  <si>
    <t>Missing cells use "N/A — Not disclosed" or "N/A — Insufficient public information to isolate reliably"; zero is never used as a placeholder.</t>
  </si>
  <si>
    <t>SOURCE HIERARCHY &amp; DATA GOVERNANCE</t>
  </si>
  <si>
    <t>1</t>
  </si>
  <si>
    <t>Primary priority</t>
  </si>
  <si>
    <t>Audited annual/integrated reports, consolidated statements/notes, official data tables, Kessan Tanshin, statutory/business reports and earnings presentations.</t>
  </si>
  <si>
    <t>2</t>
  </si>
  <si>
    <t>Traceability</t>
  </si>
  <si>
    <t>Every wide time-series row has a fiscal-year source-ID matrix. The Sources sheet maps each ID to document, status and URL.</t>
  </si>
  <si>
    <t>3</t>
  </si>
  <si>
    <t>No silent assumptions</t>
  </si>
  <si>
    <t>Definition changes, restatements, combined accounts, acquisitions, reorganizations and missing disclosures are recorded in Assumptions &amp; Limitations.</t>
  </si>
  <si>
    <t>4</t>
  </si>
  <si>
    <t>No ratios yet</t>
  </si>
  <si>
    <t>No DSO, DPO, DIO, CCC, current/quick ratio, OWC/revenue, CFO/EBITDA, FCF margin, peer median or implied cash-release calculation is included.</t>
  </si>
  <si>
    <t>DATASET READINESS — PHASE 1</t>
  </si>
  <si>
    <t>Core income statement</t>
  </si>
  <si>
    <t>Strong</t>
  </si>
  <si>
    <t>FY2015–FY2025 captured; FY2025 is presentation-rounded.</t>
  </si>
  <si>
    <t>Core balance sheet</t>
  </si>
  <si>
    <t>FY2015–FY2024 detailed; FY2025 captured at presentation level with reposted-definition warnings.</t>
  </si>
  <si>
    <t>Working capital</t>
  </si>
  <si>
    <t>Strong FY2018–FY2024; partial at edges</t>
  </si>
  <si>
    <t>Contract balances become clean under IFRS. FY2025 separate AR/contract-asset and pure trade-payables breakdowns remain incomplete.</t>
  </si>
  <si>
    <t>Cash flow</t>
  </si>
  <si>
    <t>Strong FY2015–FY2024; FY2025 gap</t>
  </si>
  <si>
    <t>Full FY2025 CFO/CFI/CFF detail was not reliably extracted in this research pass.</t>
  </si>
  <si>
    <t>Orders &amp; backlog</t>
  </si>
  <si>
    <t>Annual series captured for all target years.</t>
  </si>
  <si>
    <t>Segments / service mix</t>
  </si>
  <si>
    <t>Moderate</t>
  </si>
  <si>
    <t>Recent current-structure detail plus historical overseas KPI captured; historical labels are not force-mapped.</t>
  </si>
  <si>
    <t>Structural changes</t>
  </si>
  <si>
    <t>Dell Services, accounting transition, NTT Ltd. combination, three-company structure, data-center transactions and 2025 delisting documented.</t>
  </si>
  <si>
    <t>RECOMMENDED MODELLING WINDOW LATER</t>
  </si>
  <si>
    <t>Retain FY2015–FY2025 in the database for historical context, but use FY2018–FY2025 as the primary accounting-comparable window because it is IFRS-based. Treat FY2022 as a major structural break caused by the NTT Ltd. business combination; for cleaner operational comparisons, consider FY2018–FY2021 versus FY2023–FY2025. Lease-sensitive analysis should also flag the IFRS 16-era presentation from FY2019.</t>
  </si>
  <si>
    <t>NTT DATA Financials — Raw Reported Data</t>
  </si>
  <si>
    <t>Core statements in ¥ million. Source IDs are attached by fiscal year; accounting and structural breaks are not normalized away.</t>
  </si>
  <si>
    <t>Metric metadata</t>
  </si>
  <si>
    <t>Reported values</t>
  </si>
  <si>
    <t>Source ID by fiscal year</t>
  </si>
  <si>
    <t>Comparability / precision</t>
  </si>
  <si>
    <t>Metric</t>
  </si>
  <si>
    <t>Unit</t>
  </si>
  <si>
    <t>Definition / note</t>
  </si>
  <si>
    <t>FY2015</t>
  </si>
  <si>
    <t>FY2016</t>
  </si>
  <si>
    <t>FY2017</t>
  </si>
  <si>
    <t>FY2018</t>
  </si>
  <si>
    <t>FY2019</t>
  </si>
  <si>
    <t>FY2020</t>
  </si>
  <si>
    <t>FY2021</t>
  </si>
  <si>
    <t>FY2022</t>
  </si>
  <si>
    <t>FY2023</t>
  </si>
  <si>
    <t>FY2024</t>
  </si>
  <si>
    <t>FY2025</t>
  </si>
  <si>
    <t>INCOME STATEMENT</t>
  </si>
  <si>
    <t>Revenue / net sales</t>
  </si>
  <si>
    <t>¥ million</t>
  </si>
  <si>
    <t>Reported consolidated revenue / net sales.</t>
  </si>
  <si>
    <t>S02</t>
  </si>
  <si>
    <t>S03</t>
  </si>
  <si>
    <t>S05</t>
  </si>
  <si>
    <t>S06</t>
  </si>
  <si>
    <t>S07</t>
  </si>
  <si>
    <t>S08</t>
  </si>
  <si>
    <t>S09</t>
  </si>
  <si>
    <t>S10</t>
  </si>
  <si>
    <t>S11</t>
  </si>
  <si>
    <t>S13</t>
  </si>
  <si>
    <t>FY2015–FY2017 JGAAP; FY2018+ IFRS. FY2025 from ¥5,004.6bn presentation.</t>
  </si>
  <si>
    <t>Cost of sales / cost of revenue</t>
  </si>
  <si>
    <t>Reported cost of sales.</t>
  </si>
  <si>
    <t>FY2025 rounded.</t>
  </si>
  <si>
    <t>Gross profit</t>
  </si>
  <si>
    <t>Reported gross profit.</t>
  </si>
  <si>
    <t>Selling, general &amp; administrative expenses</t>
  </si>
  <si>
    <t>Reported SG&amp;A.</t>
  </si>
  <si>
    <t>Operating profit / operating income</t>
  </si>
  <si>
    <t>JGAAP operating income through FY2017; IFRS operating profit thereafter.</t>
  </si>
  <si>
    <t>FY2025 includes material data-center transfer/disposal gain effects discussed by management.</t>
  </si>
  <si>
    <t>EBITDA — officially reported KPI</t>
  </si>
  <si>
    <t>Official company EBITDA KPI; not an analyst reconstruction.</t>
  </si>
  <si>
    <t>S04</t>
  </si>
  <si>
    <t>Definition may evolve. FY2018+ historical values from official tables; FY2024/FY2025 rounded in company materials.</t>
  </si>
  <si>
    <t>Profit before tax / income before income taxes</t>
  </si>
  <si>
    <t>Reported pre-tax profit.</t>
  </si>
  <si>
    <t>Income tax expense</t>
  </si>
  <si>
    <t>Reported tax expense.</t>
  </si>
  <si>
    <t>Net income / profit for the year</t>
  </si>
  <si>
    <t>Consolidated net income / IFRS profit.</t>
  </si>
  <si>
    <t>Profit attributable to owners of parent / NTT DATA shareholders</t>
  </si>
  <si>
    <t>Parent-owner profit.</t>
  </si>
  <si>
    <t>Finance / interest income</t>
  </si>
  <si>
    <t>JGAAP interest income through FY2017; IFRS finance income thereafter.</t>
  </si>
  <si>
    <t>N/A — Not disclosed</t>
  </si>
  <si>
    <t>FY2025 retrieved presentation shows combined net finance/equity-method line, not separate finance income.</t>
  </si>
  <si>
    <t>Finance costs / interest expense</t>
  </si>
  <si>
    <t>JGAAP interest expense through FY2017; IFRS finance costs thereafter.</t>
  </si>
  <si>
    <t>FY2025 separate finance costs not isolated in retrieved presentation.</t>
  </si>
  <si>
    <t>Finance income + costs + equity-method result, net</t>
  </si>
  <si>
    <t>Presentation line retained where separate components are unavailable.</t>
  </si>
  <si>
    <t>FY2025 only; not comparable to finance-cost row.</t>
  </si>
  <si>
    <t>BALANCE SHEET / STATEMENT OF FINANCIAL POSITION</t>
  </si>
  <si>
    <t>Cash and cash equivalents</t>
  </si>
  <si>
    <t>FY2015–FY2017 from CFS ending cash equivalents; IFRS years from statement of financial position.</t>
  </si>
  <si>
    <t>JGAAP balance-sheet 'cash and deposits' differs from cash-equivalent definition.</t>
  </si>
  <si>
    <t>Cash and deposits — JGAAP balance-sheet caption</t>
  </si>
  <si>
    <t>JGAAP balance-sheet caption; not used as primary cross-period cash row.</t>
  </si>
  <si>
    <t>Not directly comparable to IFRS cash-and-cash-equivalents caption.</t>
  </si>
  <si>
    <t>Total current assets</t>
  </si>
  <si>
    <t>Reported total current assets.</t>
  </si>
  <si>
    <t>Total current liabilities</t>
  </si>
  <si>
    <t>Reported total current liabilities.</t>
  </si>
  <si>
    <t>Total assets</t>
  </si>
  <si>
    <t>Reported total assets.</t>
  </si>
  <si>
    <t>FY2022 step-change reflects NTT Ltd. combination; FY2025 rounded.</t>
  </si>
  <si>
    <t>Total liabilities</t>
  </si>
  <si>
    <t>Reported total liabilities.</t>
  </si>
  <si>
    <t>Total equity / net assets</t>
  </si>
  <si>
    <t>JGAAP net assets through FY2017; IFRS total equity thereafter.</t>
  </si>
  <si>
    <t>Caption changes with framework; FY2025 rounded.</t>
  </si>
  <si>
    <t>Equity attributable to owners / NTT DATA shareholders</t>
  </si>
  <si>
    <t>Owner-attributable equity.</t>
  </si>
  <si>
    <t>Short-term borrowings / short-term loans payable</t>
  </si>
  <si>
    <t>JGAAP short-term loans payable; IFRS pure short-term borrowing not isolated in retrieved summary statements.</t>
  </si>
  <si>
    <t>N/A — Insufficient public information to isolate reliably</t>
  </si>
  <si>
    <t>Do not substitute IFRS current 'bonds and borrowings' for pure short-term borrowing.</t>
  </si>
  <si>
    <t>Current portion of long-term debt</t>
  </si>
  <si>
    <t>JGAAP current portion of long-term loans payable.</t>
  </si>
  <si>
    <t>IFRS presentation aggregates current bonds and borrowings.</t>
  </si>
  <si>
    <t>Current bonds and borrowings / current debt aggregate</t>
  </si>
  <si>
    <t>IFRS current bonds &amp; borrowings.</t>
  </si>
  <si>
    <t>Long-term borrowings — JGAAP</t>
  </si>
  <si>
    <t>JGAAP long-term loans payable.</t>
  </si>
  <si>
    <t>IFRS aggregates bonds and borrowings.</t>
  </si>
  <si>
    <t>Bonds — non-current JGAAP</t>
  </si>
  <si>
    <t>JGAAP non-current bonds payable.</t>
  </si>
  <si>
    <t>Separate from long-term loans under JGAAP.</t>
  </si>
  <si>
    <t>Bonds and borrowings — non-current IFRS</t>
  </si>
  <si>
    <t>IFRS non-current bonds and borrowings.</t>
  </si>
  <si>
    <t>Lease liabilities — current</t>
  </si>
  <si>
    <t>Separately reported IFRS lease liabilities where retrieved.</t>
  </si>
  <si>
    <t>IFRS 16-era presentation visible from FY2019; FY2025 current lease amount not isolated in retrieved presentation.</t>
  </si>
  <si>
    <t>Lease liabilities — non-current</t>
  </si>
  <si>
    <t>Interest-bearing debt — official KPI where directly reported</t>
  </si>
  <si>
    <t>Company KPI, not calculated from components.</t>
  </si>
  <si>
    <t>Some years unavailable as a directly reported KPI in retrieved sources; latest presentation definition excludes leases.</t>
  </si>
  <si>
    <t>Goodwill</t>
  </si>
  <si>
    <t>Reported goodwill.</t>
  </si>
  <si>
    <t>FY2022 step-change reflects combination; FY2025 rounded.</t>
  </si>
  <si>
    <t>Intangible assets</t>
  </si>
  <si>
    <t>Reported intangible assets.</t>
  </si>
  <si>
    <t>FY2015 JGAAP caption not perfectly comparable; FY2025 rounded.</t>
  </si>
  <si>
    <t>Property, plant &amp; equipment</t>
  </si>
  <si>
    <t>Reported PP&amp;E; ROU assets are not added.</t>
  </si>
  <si>
    <t>FY2022+ major data-center asset expansion; FY2025 rounded.</t>
  </si>
  <si>
    <t>NTT DATA Working Capital — Raw Balances</t>
  </si>
  <si>
    <t>Receivables, contract assets, inventory, payables and contract liabilities remain separate. Combined captions are never silently treated as pure trade balances.</t>
  </si>
  <si>
    <t>RECEIVABLES</t>
  </si>
  <si>
    <t>Trade receivables / notes &amp; accounts receivable — trade</t>
  </si>
  <si>
    <t>Pure trade receivable balance where separately isolated.</t>
  </si>
  <si>
    <t>S12</t>
  </si>
  <si>
    <t>S20</t>
  </si>
  <si>
    <t>FY2024 combined balance is available but pure trade component not isolated in retrieved notes; FY2025 presentation combines receivables and contract assets.</t>
  </si>
  <si>
    <t>Accounts receivable — other</t>
  </si>
  <si>
    <t>IFRS note component of trade and other receivables.</t>
  </si>
  <si>
    <t>Kept separate from trade AR.</t>
  </si>
  <si>
    <t>Other within trade &amp; other receivables</t>
  </si>
  <si>
    <t>Other receivable component where separately disclosed.</t>
  </si>
  <si>
    <t>Trade and other receivables — combined balance</t>
  </si>
  <si>
    <t>Published IFRS combined balance.</t>
  </si>
  <si>
    <t>Do not use as pure trade AR without a consistent methodology.</t>
  </si>
  <si>
    <t>Receivables + contract assets — FY2025 reposted presentation caption</t>
  </si>
  <si>
    <t>Presentation caption explicitly marked as a reposted breakdown.</t>
  </si>
  <si>
    <t>FY2024 reposted comparison does not reconcile to audited FY2024 trade/other receivables + contract assets; preserved separately.</t>
  </si>
  <si>
    <t>Allowance for doubtful accounts — JGAAP</t>
  </si>
  <si>
    <t>JGAAP contra-receivable allowance.</t>
  </si>
  <si>
    <t>IFRS ECL allowance is not filled without a clean like-for-like extraction.</t>
  </si>
  <si>
    <t>CONTRACT ASSETS</t>
  </si>
  <si>
    <t>Contract assets — closing balance</t>
  </si>
  <si>
    <t>IFRS contract assets; FY2017 is an IFRS-restated bridge value.</t>
  </si>
  <si>
    <t>FY2017 IFRS-restated; FY2025 separate balance not isolated.</t>
  </si>
  <si>
    <t>Contract asset definition</t>
  </si>
  <si>
    <t>text</t>
  </si>
  <si>
    <t>System-development consideration in progress; reclassified to trade receivables when payment right becomes unconditional.</t>
  </si>
  <si>
    <t>See note</t>
  </si>
  <si>
    <t>Accounting-policy evidence; not a numerical series.</t>
  </si>
  <si>
    <t>INVENTORIES</t>
  </si>
  <si>
    <t>Inventories — total</t>
  </si>
  <si>
    <t>Reported total inventory.</t>
  </si>
  <si>
    <t>FY2022 step-up coincides with NTT Ltd. consolidation; FY2025 rounded.</t>
  </si>
  <si>
    <t>Merchandise / finished goods</t>
  </si>
  <si>
    <t>Inventory component where retrieved.</t>
  </si>
  <si>
    <t>Detailed components captured for FY2022–FY2023 only.</t>
  </si>
  <si>
    <t>Work in progress</t>
  </si>
  <si>
    <t>Raw materials / supplies</t>
  </si>
  <si>
    <t>PAYABLES</t>
  </si>
  <si>
    <t>Trade payables / notes &amp; accounts payable — trade</t>
  </si>
  <si>
    <t>Pure trade payable balance where separately isolated.</t>
  </si>
  <si>
    <t>FY2024 pure trade component not isolated in retrieved notes; FY2025 uses a reposted presentation category.</t>
  </si>
  <si>
    <t>Accrued expenses</t>
  </si>
  <si>
    <t>IFRS component of trade and other payables where retrieved.</t>
  </si>
  <si>
    <t>Not supplier trade payables.</t>
  </si>
  <si>
    <t>Trade and other payables — audited/balance-sheet category</t>
  </si>
  <si>
    <t>Published IFRS combined category.</t>
  </si>
  <si>
    <t>S19</t>
  </si>
  <si>
    <t>Do not treat entire combined category as trade payables.</t>
  </si>
  <si>
    <t>Trade and other payables — FY2025 reposted presentation definition</t>
  </si>
  <si>
    <t>Presentation caption explicitly marked as reposted.</t>
  </si>
  <si>
    <t>Material definition mismatch versus audited FY2024 category (¥1,059.2bn); kept separate.</t>
  </si>
  <si>
    <t>CONTRACT LIABILITIES / CUSTOMER ADVANCES</t>
  </si>
  <si>
    <t>Contract liabilities — total</t>
  </si>
  <si>
    <t>IFRS total contract liabilities; early IFRS years use reported balance where no separate non-current amount was captured.</t>
  </si>
  <si>
    <t>FY2017 IFRS-restated; FY2025 total not isolated.</t>
  </si>
  <si>
    <t>Contract liabilities — current balance-sheet presentation</t>
  </si>
  <si>
    <t>Current portion where separately identified.</t>
  </si>
  <si>
    <t>FY2025 rounded; not interchangeable with total contract liabilities.</t>
  </si>
  <si>
    <t>Advances received — JGAAP</t>
  </si>
  <si>
    <t>JGAAP customer advances / advances received.</t>
  </si>
  <si>
    <t>Economically related to advance billing but not equated silently with IFRS contract liabilities.</t>
  </si>
  <si>
    <t>Revenue recognized from opening contract-liability balance</t>
  </si>
  <si>
    <t>Current-year revenue recognized from opening contract-liability balance where retrieved.</t>
  </si>
  <si>
    <t>Sparse disclosure; no interpolation.</t>
  </si>
  <si>
    <t>NTT DATA Cash Flow — Raw Reported Data</t>
  </si>
  <si>
    <t>No FCF, cash-conversion or working-capital ratios are calculated. Sign and absolute-value treatments are stated explicitly.</t>
  </si>
  <si>
    <t>STATEMENT OF CASH FLOWS</t>
  </si>
  <si>
    <t>Cash flow from operating activities</t>
  </si>
  <si>
    <t>Reported net operating cash flow.</t>
  </si>
  <si>
    <t>FY2018–FY2022 historical official series rounded from ¥bn; FY2025 full CFS not reliably extracted.</t>
  </si>
  <si>
    <t>Cash flow from investing activities</t>
  </si>
  <si>
    <t>Reported net investing cash flow.</t>
  </si>
  <si>
    <t>FY2018–FY2022 rounded; FY2025 gap.</t>
  </si>
  <si>
    <t>Cash flow from financing activities</t>
  </si>
  <si>
    <t>Reported net financing cash flow.</t>
  </si>
  <si>
    <t>Cash and cash equivalents at year end</t>
  </si>
  <si>
    <t>Reported CFS ending cash; FY2025 uses presentation statement-of-position cash because detailed CFS not extracted.</t>
  </si>
  <si>
    <t>FY2025 is balance-sheet cash.</t>
  </si>
  <si>
    <t>Capital expenditure — official KPI</t>
  </si>
  <si>
    <t>Company capital-expenditure / capital-investment KPI.</t>
  </si>
  <si>
    <t>Some years rounded from official ¥bn KPI tables.</t>
  </si>
  <si>
    <t>Purchases of property, plant &amp; equipment</t>
  </si>
  <si>
    <t>Source cash outflow stored as positive absolute expenditure where captured.</t>
  </si>
  <si>
    <t>Absolute-value storage is explicitly disclosed.</t>
  </si>
  <si>
    <t>Purchases of intangible assets</t>
  </si>
  <si>
    <t>PP&amp;E + intangible purchases — combined</t>
  </si>
  <si>
    <t>Combined investment cash outflow where only combined value was captured.</t>
  </si>
  <si>
    <t>Do not double count with separate rows.</t>
  </si>
  <si>
    <t>Purchase of shares of subsidiaries causing consolidation change</t>
  </si>
  <si>
    <t>Acquisition cash outflow, absolute value.</t>
  </si>
  <si>
    <t>FY2016 Dell cash outflow also appears in equity-interest line below.</t>
  </si>
  <si>
    <t>Purchase of equity interests of subsidiaries causing consolidation change</t>
  </si>
  <si>
    <t>Large FY2016 amount relates to Dell Services acquisition structure.</t>
  </si>
  <si>
    <t>Interest paid</t>
  </si>
  <si>
    <t>Cash interest outflow, absolute value.</t>
  </si>
  <si>
    <t>Sparse extraction; no estimate.</t>
  </si>
  <si>
    <t>Income taxes paid</t>
  </si>
  <si>
    <t>Cash tax outflow, absolute value.</t>
  </si>
  <si>
    <t>Sparse extraction.</t>
  </si>
  <si>
    <t>Dividends paid</t>
  </si>
  <si>
    <t>Cash dividends paid, absolute value.</t>
  </si>
  <si>
    <t>Proceeds from long-term debt / bonds</t>
  </si>
  <si>
    <t>Debt issuance cash inflow where captured.</t>
  </si>
  <si>
    <t>FY2024 captured combined issuance/borrowing line.</t>
  </si>
  <si>
    <t>Repayments / redemption of long-term debt and bonds</t>
  </si>
  <si>
    <t>Debt repayment cash outflow, absolute value.</t>
  </si>
  <si>
    <t>FY2017 combines reported ¥50,000mm bond redemption and ¥53,785mm long-term-loan repayment; mechanical aggregation is labelled.</t>
  </si>
  <si>
    <t>Lease repayments</t>
  </si>
  <si>
    <t>Lease cash outflow, absolute value.</t>
  </si>
  <si>
    <t>Presentation changes after IFRS 16.</t>
  </si>
  <si>
    <t>REPORTED WORKING-CAPITAL CASH-FLOW MOVEMENTS</t>
  </si>
  <si>
    <t>Change in trade / trade &amp; other receivables</t>
  </si>
  <si>
    <t>Reported CFS working-capital movement; signs retained as cash-flow effect.</t>
  </si>
  <si>
    <t>Caption changes from JGAAP trade AR to IFRS trade &amp; other receivables.</t>
  </si>
  <si>
    <t>Change in contract assets</t>
  </si>
  <si>
    <t>Reported CFS movement; signs retained.</t>
  </si>
  <si>
    <t>Change in inventories</t>
  </si>
  <si>
    <t>Sign is cash-flow effect, not balance delta.</t>
  </si>
  <si>
    <t>Change in trade / trade &amp; other payables</t>
  </si>
  <si>
    <t>Caption changes across frameworks.</t>
  </si>
  <si>
    <t>Change in contract liabilities / advances received</t>
  </si>
  <si>
    <t>JGAAP advances received, IFRS contract liabilities; signs retained.</t>
  </si>
  <si>
    <t>JGAAP advances received is not necessarily identical to IFRS contract liabilities.</t>
  </si>
  <si>
    <t>NTT DATA Segments / Geography / Service Mix</t>
  </si>
  <si>
    <t>Long-form table preserves company-reported labels rather than forcing inconsistent historical categories into one taxonomy.</t>
  </si>
  <si>
    <t>Fiscal year</t>
  </si>
  <si>
    <t>Reporting basis</t>
  </si>
  <si>
    <t>Breakdown type</t>
  </si>
  <si>
    <t>Reported label</t>
  </si>
  <si>
    <t>Revenue (¥ million)</t>
  </si>
  <si>
    <t>Operating profit (¥ million)</t>
  </si>
  <si>
    <t>Source ID</t>
  </si>
  <si>
    <t>Source note</t>
  </si>
  <si>
    <t>Comparability warning</t>
  </si>
  <si>
    <t>JGAAP</t>
  </si>
  <si>
    <t>Geography / historic KPI</t>
  </si>
  <si>
    <t>Overseas net sales</t>
  </si>
  <si>
    <t>Official historical KPI series</t>
  </si>
  <si>
    <t>Definition evolves with overseas organization; do not force-map to current Overseas Segment.</t>
  </si>
  <si>
    <t>IFRS</t>
  </si>
  <si>
    <t>Current segment</t>
  </si>
  <si>
    <t>Japan Segment</t>
  </si>
  <si>
    <t>FY2025 presentation comparative</t>
  </si>
  <si>
    <t>Three-company structure; some segment figures rounded in presentation.</t>
  </si>
  <si>
    <t>Overseas Segment</t>
  </si>
  <si>
    <t>Public &amp; Social Infrastructure</t>
  </si>
  <si>
    <t>Financial</t>
  </si>
  <si>
    <t>Enterprise</t>
  </si>
  <si>
    <t>Service category</t>
  </si>
  <si>
    <t>Consulting</t>
  </si>
  <si>
    <t>FY2024 statutory note / breakdown of net sales</t>
  </si>
  <si>
    <t>Company label retained.</t>
  </si>
  <si>
    <t>Integrated IT Solution</t>
  </si>
  <si>
    <t>System &amp; Software Development</t>
  </si>
  <si>
    <t>Maintenance &amp; Support</t>
  </si>
  <si>
    <t>Communication terminal equipment sales / etc. / others</t>
  </si>
  <si>
    <t>Data Center</t>
  </si>
  <si>
    <t>FY2025 presentation</t>
  </si>
  <si>
    <t>Rounded to ¥0.1bn.</t>
  </si>
  <si>
    <t>NTT DATA Orders &amp; Backlog</t>
  </si>
  <si>
    <t>Raw order intake/new orders and year-end backlog. No order-growth or book-to-bill calculation is included.</t>
  </si>
  <si>
    <t>New orders / order intake (¥ million)</t>
  </si>
  <si>
    <t>Year-end order backlog (¥ million)</t>
  </si>
  <si>
    <t>Definition / scope note</t>
  </si>
  <si>
    <t>Selected contract / order commentary</t>
  </si>
  <si>
    <t>Former Dell Services acquisition materially expanded international business scale; management also highlighted the myki operations contract.</t>
  </si>
  <si>
    <t>Acquisition/consolidation effects materially affect backlog and sales base.</t>
  </si>
  <si>
    <t>Management states FY2022 new orders exclude NTT Ltd.; financial results/balance sheet include NTT Ltd. from Q3.</t>
  </si>
  <si>
    <t>Structural scope break.</t>
  </si>
  <si>
    <t>NTT Ltd. included in order intake under expanded group scope.</t>
  </si>
  <si>
    <t>First full-year order series with expanded overseas scope.</t>
  </si>
  <si>
    <t>Presentation values in ¥bn to one decimal.</t>
  </si>
  <si>
    <t>Rounded source precision.</t>
  </si>
  <si>
    <t>NTT DATA Debt &amp; Financing</t>
  </si>
  <si>
    <t>Raw financing balances, finance costs and selected rating history. No estimated cost of debt is included.</t>
  </si>
  <si>
    <t>Basis</t>
  </si>
  <si>
    <t>Reported value</t>
  </si>
  <si>
    <t>Source context</t>
  </si>
  <si>
    <t>Maturity / rate note</t>
  </si>
  <si>
    <t>Rating / refinancing note</t>
  </si>
  <si>
    <t>Short-term loans payable</t>
  </si>
  <si>
    <t>Annual report</t>
  </si>
  <si>
    <t>Current portion LT loans</t>
  </si>
  <si>
    <t>Bonds payable — non-current</t>
  </si>
  <si>
    <t>Long-term loans payable</t>
  </si>
  <si>
    <t>Interest-bearing debt — company KPI</t>
  </si>
  <si>
    <t>Interest expense</t>
  </si>
  <si>
    <t>Current portion bonds</t>
  </si>
  <si>
    <t>Bonds and borrowings — current</t>
  </si>
  <si>
    <t>Official statement / presentation</t>
  </si>
  <si>
    <t>Bonds and borrowings — non-current</t>
  </si>
  <si>
    <t>Finance costs</t>
  </si>
  <si>
    <t>Interest-bearing debt — official KPI</t>
  </si>
  <si>
    <t>Company historical KPI / presentation</t>
  </si>
  <si>
    <t>Directly reported KPI; not reconstructed.</t>
  </si>
  <si>
    <t>Credit rating — JCR</t>
  </si>
  <si>
    <t>AA+</t>
  </si>
  <si>
    <t>rating</t>
  </si>
  <si>
    <t>Annual Report 2018</t>
  </si>
  <si>
    <t>JCR AA+</t>
  </si>
  <si>
    <t>Snapshot.</t>
  </si>
  <si>
    <t>Credit rating — R&amp;I</t>
  </si>
  <si>
    <t>AA</t>
  </si>
  <si>
    <t>R&amp;I AA</t>
  </si>
  <si>
    <t>Integrated Report 2020</t>
  </si>
  <si>
    <t>FY2021 management material</t>
  </si>
  <si>
    <t>Upgraded from AA to AA+ on Dec. 1, 2021</t>
  </si>
  <si>
    <t>Rating-change event.</t>
  </si>
  <si>
    <t>Integrated Report 2022 reference</t>
  </si>
  <si>
    <t>NTT DATA Acquisitions &amp; Structural Changes</t>
  </si>
  <si>
    <t>Events that can distort revenue, working capital, debt, cash flow, segment mix or accounting comparability.</t>
  </si>
  <si>
    <t>Date</t>
  </si>
  <si>
    <t>Event</t>
  </si>
  <si>
    <t>Company / business</t>
  </si>
  <si>
    <t>Event type</t>
  </si>
  <si>
    <t>Purchase price / consideration</t>
  </si>
  <si>
    <t>Key disclosed financial impact</t>
  </si>
  <si>
    <t>Metrics affected</t>
  </si>
  <si>
    <t>Comparability impact</t>
  </si>
  <si>
    <t>2016-11-02</t>
  </si>
  <si>
    <t>Acquisition of former Dell Services</t>
  </si>
  <si>
    <t>Dell Services</t>
  </si>
  <si>
    <t>Acquisition / carve-out</t>
  </si>
  <si>
    <t>¥345,375 million</t>
  </si>
  <si>
    <t>Former Dell Services generated roughly ¥300bn annual sales; acquisition financed partly with ¥210bn short-term borrowing and created a major acquisition cash outflow.</t>
  </si>
  <si>
    <t>Revenue; receivables; debt; cash flow; overseas mix; backlog</t>
  </si>
  <si>
    <t>Major structural break from FY2016 onward; acquired scale is not organic working-capital movement.</t>
  </si>
  <si>
    <t>S16</t>
  </si>
  <si>
    <t>Official business-combination disclosure.</t>
  </si>
  <si>
    <t>2017-04-01</t>
  </si>
  <si>
    <t>North America integration of former Dell Services</t>
  </si>
  <si>
    <t>NTT DATA Services / NTT DATA, Inc.</t>
  </si>
  <si>
    <t>Post-merger integration</t>
  </si>
  <si>
    <t>North American operating structure integrated; acquisition-related operating/IT transition costs continued.</t>
  </si>
  <si>
    <t>Revenue; operating costs; segment mix</t>
  </si>
  <si>
    <t>Historical Global/overseas trends include post-acquisition integration effects.</t>
  </si>
  <si>
    <t>S15</t>
  </si>
  <si>
    <t>Official acquisition / annual-report commentary.</t>
  </si>
  <si>
    <t>2017-04-01 transition date</t>
  </si>
  <si>
    <t>Transition from Japanese GAAP to IFRS reporting series</t>
  </si>
  <si>
    <t>NTT DATA Group</t>
  </si>
  <si>
    <t>Accounting-standard change</t>
  </si>
  <si>
    <t>Official data archive maintains JGAAP-through-FY2017 and IFRS-from-FY2018 series; IFRS-restated FY2017 bridge data exist.</t>
  </si>
  <si>
    <t>All statement captions; contract balances; classifications</t>
  </si>
  <si>
    <t>Main workbook uses JGAAP FY2015–FY2017 and IFRS FY2018+; bridge values are explicitly labelled.</t>
  </si>
  <si>
    <t>S01</t>
  </si>
  <si>
    <t>Official Data Tables split.</t>
  </si>
  <si>
    <t>FY2019 reporting year</t>
  </si>
  <si>
    <t>IFRS 16 lease presentation becomes visible</t>
  </si>
  <si>
    <t>Accounting-policy / presentation change</t>
  </si>
  <si>
    <t>Right-of-use assets and current/non-current lease liabilities become separately visible in retrieved statements.</t>
  </si>
  <si>
    <t>Assets; liabilities; lease payments; capital intensity</t>
  </si>
  <si>
    <t>Lease-sensitive comparisons around FY2019 require care.</t>
  </si>
  <si>
    <t>FY2019 financial statements.</t>
  </si>
  <si>
    <t>2022-10-01</t>
  </si>
  <si>
    <t>Establishment of NTT DATA, Inc. / business combination with NTT Ltd.</t>
  </si>
  <si>
    <t>NTT Ltd. / NTT DATA, Inc.</t>
  </si>
  <si>
    <t>Common-control business combination / reorganization</t>
  </si>
  <si>
    <t>Disclosed acquired/consolidated balances included trade &amp; other receivables ¥975,363mm, PP&amp;E ¥971,376mm, goodwill ¥560,493mm, intangibles ¥119,879mm, trade/other payables ¥621,976mm and bonds/borrowings ¥1,041,612mm.</t>
  </si>
  <si>
    <t>Revenue; AR; contract assets; AP; debt; assets; segment mix; cash flow</t>
  </si>
  <si>
    <t>Largest structural break in the IFRS series. FY2022 balance sheet includes NTT Ltd.; FY2022 new orders exclude it.</t>
  </si>
  <si>
    <t>Audited notes describing FY2022 common-control combination.</t>
  </si>
  <si>
    <t>2023-07-01</t>
  </si>
  <si>
    <t>Transition to three-company holding-company structure</t>
  </si>
  <si>
    <t>NTT DATA Group Corporation; NTT DATA Japan; NTT DATA, Inc.</t>
  </si>
  <si>
    <t>Corporate reorganization</t>
  </si>
  <si>
    <t>Domestic and overseas operating companies placed under holding company; governance and reporting structure changed.</t>
  </si>
  <si>
    <t>Segments; reporting labels; governance</t>
  </si>
  <si>
    <t>Current Japan/Overseas segment labels are not directly comparable with older historical segments.</t>
  </si>
  <si>
    <t>S17</t>
  </si>
  <si>
    <t>Integrated Report 2023.</t>
  </si>
  <si>
    <t>2024–2025</t>
  </si>
  <si>
    <t>Data-center assets held for sale / disposal process</t>
  </si>
  <si>
    <t>Overseas data-center businesses</t>
  </si>
  <si>
    <t>Asset disposal / held-for-sale classification</t>
  </si>
  <si>
    <t>Assets held for sale reached ¥93,060mm at Mar. 31, 2025; disposal process continued into FY2025.</t>
  </si>
  <si>
    <t>PP&amp;E; investing cash flow; operating profit; segment mix</t>
  </si>
  <si>
    <t>One-off asset-sale accounting can distort asset and profit trends.</t>
  </si>
  <si>
    <t>FY2024 final results.</t>
  </si>
  <si>
    <t>2025-06/07 updates; FY2025 result impact</t>
  </si>
  <si>
    <t>Data-center fixed-asset transfer/disposal</t>
  </si>
  <si>
    <t>Consolidated data-center subsidiaries</t>
  </si>
  <si>
    <t>Asset disposal</t>
  </si>
  <si>
    <t>Company presentation identifies a material data-center transfer transaction and gain affecting reported operating profit / EBITDA.</t>
  </si>
  <si>
    <t>Operating profit; EBITDA; PP&amp;E; investing cash flow</t>
  </si>
  <si>
    <t>FY2025 operating-profit/EBITDA improvement contains a material one-off transaction effect.</t>
  </si>
  <si>
    <t>FY2025 presentation / timely-disclosure context.</t>
  </si>
  <si>
    <t>2025-09-26</t>
  </si>
  <si>
    <t>Delisting from Tokyo Stock Exchange Prime Market</t>
  </si>
  <si>
    <t>NTT DATA Group Corporation</t>
  </si>
  <si>
    <t>Ownership / listing change</t>
  </si>
  <si>
    <t>Shares delisted after shareholder-approved share consolidation as NTT moved to full ownership.</t>
  </si>
  <si>
    <t>Ownership; disclosure regime; future IR availability</t>
  </si>
  <si>
    <t>FY2025 includes a major ownership/governance change; future public-disclosure format may differ.</t>
  </si>
  <si>
    <t>S18</t>
  </si>
  <si>
    <t>Official Notice of Delisting.</t>
  </si>
  <si>
    <t>NTT DATA Qualitative Working-Capital Evidence</t>
  </si>
  <si>
    <t>Management explanations and accounting-policy evidence. Analyst interpretation is intentionally minimized in Phase 1.</t>
  </si>
  <si>
    <t>Fiscal year / date</t>
  </si>
  <si>
    <t>Topic</t>
  </si>
  <si>
    <t>Management statement summary</t>
  </si>
  <si>
    <t>Related metric</t>
  </si>
  <si>
    <t>Explanation / accounting meaning</t>
  </si>
  <si>
    <t>Source document</t>
  </si>
  <si>
    <t>Page / section</t>
  </si>
  <si>
    <t>URL</t>
  </si>
  <si>
    <t>Classification</t>
  </si>
  <si>
    <t>FY2024 statutory note</t>
  </si>
  <si>
    <t>Contract assets</t>
  </si>
  <si>
    <t>Contract assets record consideration for system-development services in progress and move to trade receivables when the right to payment becomes unconditional.</t>
  </si>
  <si>
    <t>Contract assets; trade AR</t>
  </si>
  <si>
    <t>Key bridge between unbilled project work and invoiced receivables.</t>
  </si>
  <si>
    <t>FY2024 statutory financial statements</t>
  </si>
  <si>
    <t>Contract balance</t>
  </si>
  <si>
    <t>https://www.nttdata.com/global/en/-/media/nttdataglobal/1_files/investors/stock-information/2025/web37_e.pdf?rev=2a93a0492d5b471ebd6d02c370fb6786</t>
  </si>
  <si>
    <t>Management / accounting policy</t>
  </si>
  <si>
    <t>Contract liabilities</t>
  </si>
  <si>
    <t>Contract liabilities record client consideration received in advance and are derecognized as corresponding goods/services transfer.</t>
  </si>
  <si>
    <t>Contract liabilities; customer advances</t>
  </si>
  <si>
    <t>Advance billing can fund the operating cycle and should remain separate from ordinary payables.</t>
  </si>
  <si>
    <t>FY2023 notes</t>
  </si>
  <si>
    <t>Credit risk / collections</t>
  </si>
  <si>
    <t>Management monitors individual customer collection status, due dates and credit balances in receivable-credit management.</t>
  </si>
  <si>
    <t>Receivables / ECL</t>
  </si>
  <si>
    <t>Relevant to later collection-quality analysis; does not quantify standard payment terms.</t>
  </si>
  <si>
    <t>Integrated Report 2024 — notes</t>
  </si>
  <si>
    <t>Financial instruments / credit risk</t>
  </si>
  <si>
    <t>https://www.nttdata.com/global/en/-/media/nttdataglobal/1_files/investors/integrated-report/fy2024_ar.pdf</t>
  </si>
  <si>
    <t>Management explanation</t>
  </si>
  <si>
    <t>Dell Services acquisition</t>
  </si>
  <si>
    <t>Management characterized the acquisition as a major expansion of North American scale; separate disclosures show acquisition/integration costs and borrowing used to fund it.</t>
  </si>
  <si>
    <t>Revenue; debt; cash flow; backlog</t>
  </si>
  <si>
    <t>Acquired scale changes denominators and balance-sheet levels for later trend analysis.</t>
  </si>
  <si>
    <t>Annual Report / transaction disclosure</t>
  </si>
  <si>
    <t>https://www.nttdata.com/global/en/-/media/nttdataglobal/files/investors/inv004_financials/financial-results/2016/fy2016_fs_2q.pdf?rev=3e91ad1a036f43fb953c6c3c8c3ec724</t>
  </si>
  <si>
    <t>Accounting-period alignment</t>
  </si>
  <si>
    <t>Management stated that unification of some EMEA accounting periods added about ¥21bn to sales and ¥16bn to new orders in the year.</t>
  </si>
  <si>
    <t>Revenue; orders</t>
  </si>
  <si>
    <t>Calendar/consolidation effect, not purely operating growth.</t>
  </si>
  <si>
    <t>Official IR Q&amp;A</t>
  </si>
  <si>
    <t>EMEA accounting period</t>
  </si>
  <si>
    <t>https://www.nttdata.com/global/en/investors/principal-qa-2017-3q</t>
  </si>
  <si>
    <t>NTT Ltd. combination</t>
  </si>
  <si>
    <t>The overseas business combination with NTT Ltd. greatly expanded group scale and added data-center, managed-services, network and other businesses.</t>
  </si>
  <si>
    <t>Revenue; AR; AP; debt; PP&amp;E; goodwill</t>
  </si>
  <si>
    <t>Most important structural explanation for FY2022 balance-sheet step-up.</t>
  </si>
  <si>
    <t>Integrated Report 2023 / audited notes</t>
  </si>
  <si>
    <t>Reorganization / business combination</t>
  </si>
  <si>
    <t>https://www.nttdata.com/global/en/-/media/nttdataglobal/1_files/investors/integrated-report/fy2023_ar_b.pdf?rev=aed9c74c1a4d43a18ad6c81cb18a8f5e</t>
  </si>
  <si>
    <t>FY2022–FY2023</t>
  </si>
  <si>
    <t>Orders</t>
  </si>
  <si>
    <t>Management materials state FY2022 new orders exclude NTT Ltd., while NTT Ltd. is included from FY2023.</t>
  </si>
  <si>
    <t>Orders / backlog</t>
  </si>
  <si>
    <t>Order growth across the boundary is not like-for-like.</t>
  </si>
  <si>
    <t>FY2025 Company Presentation</t>
  </si>
  <si>
    <t>Historical order trend note</t>
  </si>
  <si>
    <t>https://www.nttdata.com/global/en/-/media/nttdataglobal/1_files/investors/ir_events/2025/fy2025_pre_4q.pdf</t>
  </si>
  <si>
    <t>Loss-making project</t>
  </si>
  <si>
    <t>Management discussed a loss-making Public &amp; Social Infrastructure project; after launch, the system issue was resolved and operations were moving into a smaller maintenance phase.</t>
  </si>
  <si>
    <t>Operating profit; project WIP / contract assets</t>
  </si>
  <si>
    <t>Large systems projects can create project-timing and acceptance effects relevant to contract assets.</t>
  </si>
  <si>
    <t>Integrated Report 2024</t>
  </si>
  <si>
    <t>Business performance</t>
  </si>
  <si>
    <t>Capital investment / data centers</t>
  </si>
  <si>
    <t>Management reported substantial overseas capital investment, with a large portion related to data centers.</t>
  </si>
  <si>
    <t>PP&amp;E; investing cash flow</t>
  </si>
  <si>
    <t>Capital-intensive data-center expansion is economically separate from working capital.</t>
  </si>
  <si>
    <t>Capital expenditures</t>
  </si>
  <si>
    <t>Data-center transfer / disposal</t>
  </si>
  <si>
    <t>FY2025 presentation indicates a material data-center transfer transaction gain contributing to operating profit and EBITDA.</t>
  </si>
  <si>
    <t>Operating profit; EBITDA; PP&amp;E</t>
  </si>
  <si>
    <t>One-off transaction gain should not be mistaken for better operating-cycle cash conversion.</t>
  </si>
  <si>
    <t>Consolidated results</t>
  </si>
  <si>
    <t>Balance-sheet reposting</t>
  </si>
  <si>
    <t>FY2025 presentation explicitly labels some balance-sheet breakdown items as reposted.</t>
  </si>
  <si>
    <t>Receivables; payables</t>
  </si>
  <si>
    <t>Reposted FY2024 comparatives do not reconcile to audited FY2024 detailed captions; both definitions are preserved separately.</t>
  </si>
  <si>
    <t>Statement of financial position</t>
  </si>
  <si>
    <t>Accounting / presentation warning</t>
  </si>
  <si>
    <t>Source Register</t>
  </si>
  <si>
    <t>Primary-source register. Source IDs are used throughout the workbook for point-level traceability.</t>
  </si>
  <si>
    <t>Document name</t>
  </si>
  <si>
    <t>Document type</t>
  </si>
  <si>
    <t>Fiscal year(s)</t>
  </si>
  <si>
    <t>Publication date</t>
  </si>
  <si>
    <t>Audit / status</t>
  </si>
  <si>
    <t>Relevant pages / sections</t>
  </si>
  <si>
    <t>Comments</t>
  </si>
  <si>
    <t>NTT DATA Data Tables</t>
  </si>
  <si>
    <t>Official IR data archive</t>
  </si>
  <si>
    <t>FY2015–FY2026</t>
  </si>
  <si>
    <t>2026-08-06</t>
  </si>
  <si>
    <t>https://www.nttdata.com/global/en/investors/performance/fb</t>
  </si>
  <si>
    <t>Official IR</t>
  </si>
  <si>
    <t>Data Tables page</t>
  </si>
  <si>
    <t>JGAAP through FY2017; IFRS from FY2018; updated after results.</t>
  </si>
  <si>
    <t>Annual Report 2017</t>
  </si>
  <si>
    <t>Annual report / audited financial statements</t>
  </si>
  <si>
    <t>FY2015–FY2016</t>
  </si>
  <si>
    <t>2017</t>
  </si>
  <si>
    <t>https://www.nttdata.com/global/en/-/media/nttdataglobal/files/investors/inv004_financials/annual-report/fy2017_ar_b.pdf?rev=b1cb8171510c438d93f85170ef462b95</t>
  </si>
  <si>
    <t>Audited</t>
  </si>
  <si>
    <t>Financial statements / notes</t>
  </si>
  <si>
    <t>Primary source for FY2015 and FY2016 JGAAP.</t>
  </si>
  <si>
    <t>FY2016–FY2017</t>
  </si>
  <si>
    <t>2018</t>
  </si>
  <si>
    <t>https://www.nttdata.com/global/en/-/media/nttdataglobal/files/investors/inv004_financials/annual-report/fy2018_ar_b.pdf?rev=6133c7d3db8942d8a5b0c640965b5fed</t>
  </si>
  <si>
    <t>Financial Information; historical highlights</t>
  </si>
  <si>
    <t>Primary source for FY2016–FY2017 JGAAP and historical KPI values.</t>
  </si>
  <si>
    <t>Integrated Report 2022</t>
  </si>
  <si>
    <t>Integrated report / historical financial data</t>
  </si>
  <si>
    <t>FY2017–FY2022</t>
  </si>
  <si>
    <t>2022</t>
  </si>
  <si>
    <t>https://www.nttdata.com/global/en/-/media/nttdataglobal/1_files/investors/integrated-report/fy2022_ar_b.pdf</t>
  </si>
  <si>
    <t>Audited financial data + management report</t>
  </si>
  <si>
    <t>Historical financial / non-financial data</t>
  </si>
  <si>
    <t>Orders, backlog, capex, EBITDA, overseas sales and rating history.</t>
  </si>
  <si>
    <t>Integrated Report / Annual Report 2019</t>
  </si>
  <si>
    <t>Audited IFRS report</t>
  </si>
  <si>
    <t>2019</t>
  </si>
  <si>
    <t>https://www.nttdata.com/global/en/-/media/nttdataglobal/1_files/investors/integrated-report/fy2019_ar_b.pdf?rev=cf6cd677f4d3420094b591b4c92b6af4</t>
  </si>
  <si>
    <t>Consolidated statements / notes</t>
  </si>
  <si>
    <t>IFRS statement-of-position and working-capital breakdown.</t>
  </si>
  <si>
    <t>FY2019 Financial Results</t>
  </si>
  <si>
    <t>Kessan Tanshin / final results</t>
  </si>
  <si>
    <t>2020</t>
  </si>
  <si>
    <t>https://www.nttdata.com/global/en/-/media/nttdataglobal/1_files/investors/financial-results/2019/fy2019_fs_4q_01.pdf</t>
  </si>
  <si>
    <t>Official; Kessan Tanshin</t>
  </si>
  <si>
    <t>Consolidated statements</t>
  </si>
  <si>
    <t>FY2019 income and balance data.</t>
  </si>
  <si>
    <t>2021</t>
  </si>
  <si>
    <t>https://www.nttdata.com/global/en/-/media/nttdataglobal/1_files/investors/integrated-report/fy2020_ar_b.pdf?rev=3eb817c598a641959792e94610b81324</t>
  </si>
  <si>
    <t>Financial statements / management resources</t>
  </si>
  <si>
    <t>FY2020 IFRS and rating information.</t>
  </si>
  <si>
    <t>Integrated Report 2021</t>
  </si>
  <si>
    <t>https://www.nttdata.com/global/en/-/media/nttdataglobal/1_files/investors/integrated-report/fy2021_ar_b.pdf?rev=7b868a5c0f1a4c50b7eb6bce7f4c80e1</t>
  </si>
  <si>
    <t>FY2021 IFRS and rating context.</t>
  </si>
  <si>
    <t>FY2022 Financial Results</t>
  </si>
  <si>
    <t>2023</t>
  </si>
  <si>
    <t>https://www.nttdata.com/global/en/-/media/nttdataglobal/1_files/investors/financial-results/2022/fy2022_fs_4q.pdf</t>
  </si>
  <si>
    <t>FY2022 statement figures.</t>
  </si>
  <si>
    <t>FY2023 Financial Results</t>
  </si>
  <si>
    <t>2024</t>
  </si>
  <si>
    <t>https://www.nttdata.com/global/en/-/media/nttdataglobal/1_files/investors/financial-results/2023/fy2023_fs_4q.pdf?rev=362f0f5a70cf43628c53baadd69caee6</t>
  </si>
  <si>
    <t>FY2023 statement figures / FY2022 comparison.</t>
  </si>
  <si>
    <t>FY2024 Financial Results</t>
  </si>
  <si>
    <t>2025</t>
  </si>
  <si>
    <t>https://www.nttdata.com/global/en/-/media/nttdataglobal/1_files/investors/financial-results/2024/fy2024_fs_4q.pdf</t>
  </si>
  <si>
    <t>Consolidated statements / cash flow</t>
  </si>
  <si>
    <t>Exact FY2024 statement and cash-flow values.</t>
  </si>
  <si>
    <t>Integrated Report 2024 — Notes</t>
  </si>
  <si>
    <t>Audited notes</t>
  </si>
  <si>
    <t>Receivables, payables, contracts, inventory, business combinations</t>
  </si>
  <si>
    <t>Detailed working-capital and NTT Ltd. combination disclosures.</t>
  </si>
  <si>
    <t>Earnings presentation</t>
  </si>
  <si>
    <t>2026-05-08</t>
  </si>
  <si>
    <t>Unaudited presentation</t>
  </si>
  <si>
    <t>Results; balance sheet; segments; order backlog</t>
  </si>
  <si>
    <t>Many FY2025 values shown in ¥bn to one decimal; mechanically converted to ¥mm.</t>
  </si>
  <si>
    <t>S14</t>
  </si>
  <si>
    <t>NTT DATA IR News</t>
  </si>
  <si>
    <t>Official IR archive</t>
  </si>
  <si>
    <t>https://www.nttdata.com/global/en/investors/news</t>
  </si>
  <si>
    <t>May 8, 2026 FY2025 results entry</t>
  </si>
  <si>
    <t>Confirms FY2025 results and historical-data update.</t>
  </si>
  <si>
    <t>NTT DATA Closes Acquisition of Dell Services</t>
  </si>
  <si>
    <t>Official press release</t>
  </si>
  <si>
    <t>2016-11-03</t>
  </si>
  <si>
    <t>https://www.nttdata.com/global/en/news/press-release/2016/november/2016/ntt-data-closes-acquisition-of-dell-services</t>
  </si>
  <si>
    <t>Official</t>
  </si>
  <si>
    <t>Transaction close</t>
  </si>
  <si>
    <t>Deal closed Nov. 2, 2016 US time.</t>
  </si>
  <si>
    <t>FY2016 Q2 Kessan Tanshin — Dell Services combination</t>
  </si>
  <si>
    <t>Transaction accounting disclosure</t>
  </si>
  <si>
    <t>2016</t>
  </si>
  <si>
    <t>Business combination note</t>
  </si>
  <si>
    <t>Acquisition cost ¥345,375mm; financing disclosure.</t>
  </si>
  <si>
    <t>Integrated Report 2023</t>
  </si>
  <si>
    <t>Integrated report / reorganization</t>
  </si>
  <si>
    <t>Audited report + management discussion</t>
  </si>
  <si>
    <t>Three-company structure / NTT Ltd.</t>
  </si>
  <si>
    <t>NTT DATA, Inc. established Oct. 2022; three-company structure July 2023.</t>
  </si>
  <si>
    <t>Notice of Delisting of Company Shares</t>
  </si>
  <si>
    <t>Timely disclosure</t>
  </si>
  <si>
    <t>2025-09-25</t>
  </si>
  <si>
    <t>https://www.nttdata.com/global/en/news/press-release/2025/september/092500</t>
  </si>
  <si>
    <t>Official disclosure</t>
  </si>
  <si>
    <t>Delisting</t>
  </si>
  <si>
    <t>Shares delisted Sept. 26, 2025.</t>
  </si>
  <si>
    <t>FY2024 Business Report</t>
  </si>
  <si>
    <t>Business report / consolidated statements</t>
  </si>
  <si>
    <t>https://www.nttdata.com/global/en/-/media/nttdataglobal/1_files/investors/stock-information/2025/business-report.pdf?rev=9b7609af9ca34c579bda876bd9b99e21</t>
  </si>
  <si>
    <t>Official business report</t>
  </si>
  <si>
    <t>Confirms Mar. 31, 2025 balance-sheet captions including combined payables.</t>
  </si>
  <si>
    <t>FY2024 Statutory Financial Statements / Notes</t>
  </si>
  <si>
    <t>Statutory note disclosure</t>
  </si>
  <si>
    <t>Official statutory disclosure</t>
  </si>
  <si>
    <t>Net sales / contract balances</t>
  </si>
  <si>
    <t>Contract assets ¥197,069mm; total contract liabilities ¥495,570mm; service-revenue breakdown.</t>
  </si>
  <si>
    <t>Assumptions &amp; Limitations</t>
  </si>
  <si>
    <t>Material comparability, definition, precision and missing-data issues. No hidden estimates.</t>
  </si>
  <si>
    <t>Issue</t>
  </si>
  <si>
    <t>Affected variable</t>
  </si>
  <si>
    <t>Affected year(s)</t>
  </si>
  <si>
    <t>Why the problem exists</t>
  </si>
  <si>
    <t>Treatment used</t>
  </si>
  <si>
    <t>Potential analytical impact</t>
  </si>
  <si>
    <t>JGAAP → IFRS transition</t>
  </si>
  <si>
    <t>All financial statements / account definitions</t>
  </si>
  <si>
    <t>FY2017–FY2018</t>
  </si>
  <si>
    <t>Official archive splits JGAAP through FY2017 and IFRS from FY2018; some IFRS-restated FY2017 comparatives exist.</t>
  </si>
  <si>
    <t>Main series uses JGAAP FY2015–17 and IFRS FY2018+. IFRS-restated FY2017 is used only for contract balances and flagged.</t>
  </si>
  <si>
    <t>Cross-boundary ratios may reflect accounting changes as well as economics.</t>
  </si>
  <si>
    <t>Contract assets not a JGAAP main-series caption</t>
  </si>
  <si>
    <t>FY2015–FY2017</t>
  </si>
  <si>
    <t>Pre-IFRS reporting lacks the same contract-asset classification.</t>
  </si>
  <si>
    <t>FY2015–FY2016 left unavailable; FY2017 IFRS-restated closing balance shown only as bridge.</t>
  </si>
  <si>
    <t>Perfectly homogeneous contract-asset-day history cannot start in FY2015.</t>
  </si>
  <si>
    <t>Combined receivables</t>
  </si>
  <si>
    <t>Trade receivables</t>
  </si>
  <si>
    <t>IFRS years</t>
  </si>
  <si>
    <t>Balance sheet often shows trade and other receivables; pure trade AR requires notes.</t>
  </si>
  <si>
    <t>Pure trade AR used only when separately disclosed; combined balance kept separately; no split estimated.</t>
  </si>
  <si>
    <t>DSO should use pure AR only where isolated or a deliberately broader consistent definition.</t>
  </si>
  <si>
    <t>Combined payables</t>
  </si>
  <si>
    <t>Trade payables</t>
  </si>
  <si>
    <t>Trade and other payables contains accrued and other liabilities.</t>
  </si>
  <si>
    <t>Pure trade AP used only where note breakdown exists; combined balance kept separately.</t>
  </si>
  <si>
    <t>Using combined payables mechanically would overstate supplier financing.</t>
  </si>
  <si>
    <t>FY2025 reposted balance-sheet definitions</t>
  </si>
  <si>
    <t>Receivables / contract assets; payables</t>
  </si>
  <si>
    <t>FY2024 comparative / FY2025</t>
  </si>
  <si>
    <t>FY2025 presentation marks some breakdown items as reposted; FY2024 reposted comparisons do not reconcile to audited detailed captions.</t>
  </si>
  <si>
    <t>Audited FY2024 series remains intact; reposted FY2024/FY2025 rows are separate.</t>
  </si>
  <si>
    <t>Avoids a false apparent collapse/increase caused only by definition changes.</t>
  </si>
  <si>
    <t>FY2025 source precision</t>
  </si>
  <si>
    <t>Most FY2025 metrics</t>
  </si>
  <si>
    <t>Presentation uses ¥bn to one decimal for many values.</t>
  </si>
  <si>
    <t>Mechanically multiplied by 1,000 to ¥mm and labelled rounded.</t>
  </si>
  <si>
    <t>Small FY2025 changes should not be overinterpreted.</t>
  </si>
  <si>
    <t>FY2025 detailed cash-flow gap</t>
  </si>
  <si>
    <t>CFO/CFI/CFF / WC movements</t>
  </si>
  <si>
    <t>Detailed full-year CFS was not reliably extracted in this pass from the retrieved primary material.</t>
  </si>
  <si>
    <t>Cells remain N/A rather than estimated; ending cash and capital investment are captured.</t>
  </si>
  <si>
    <t>Retrieve current official data table before final FY2025 cash-conversion ratios.</t>
  </si>
  <si>
    <t>Revenue; debt; AR; cash flow; backlog; mix</t>
  </si>
  <si>
    <t>FY2016 onward</t>
  </si>
  <si>
    <t>Large carve-out acquisition closed Nov. 2, 2016; acquisition cost ¥345.375bn and debt funding changed scale.</t>
  </si>
  <si>
    <t>Raw published data retained; event documented; no pro-forma history invented.</t>
  </si>
  <si>
    <t>FY2016–FY2017 trend changes are partly acquisition-driven.</t>
  </si>
  <si>
    <t>EMEA accounting-period alignment</t>
  </si>
  <si>
    <t>Revenue / orders</t>
  </si>
  <si>
    <t>Some overseas accounting periods were unified, adding an extra period.</t>
  </si>
  <si>
    <t>Management-reported effect documented qualitatively; published totals retained.</t>
  </si>
  <si>
    <t>Year-over-year growth contains a calendar/consolidation effect.</t>
  </si>
  <si>
    <t>IFRS 16 lease accounting</t>
  </si>
  <si>
    <t>Lease liabilities / ROU assets / cash-flow classification</t>
  </si>
  <si>
    <t>FY2019 onward</t>
  </si>
  <si>
    <t>Lease liabilities and ROU assets become separately visible under IFRS 16-era reporting.</t>
  </si>
  <si>
    <t>Lease liabilities kept separate; no retroactive FY2018 estimate.</t>
  </si>
  <si>
    <t>Leverage and asset-intensity comparisons around FY2019 need caution.</t>
  </si>
  <si>
    <t>NTT Ltd. common-control combination</t>
  </si>
  <si>
    <t>Almost all balance-sheet and overseas metrics</t>
  </si>
  <si>
    <t>FY2022 onward</t>
  </si>
  <si>
    <t>Combination added very large receivables, payables, debt, PP&amp;E, goodwill and NCI.</t>
  </si>
  <si>
    <t>Raw figures retained; acquired balances and event documented.</t>
  </si>
  <si>
    <t>FY2022 is a structural break, not ordinary working-capital growth.</t>
  </si>
  <si>
    <t>Order-scope mismatch around NTT Ltd.</t>
  </si>
  <si>
    <t>New orders / backlog</t>
  </si>
  <si>
    <t>FY2022 new orders exclude NTT Ltd.; NTT Ltd. included from FY2023.</t>
  </si>
  <si>
    <t>Scope warning embedded in Orders sheet.</t>
  </si>
  <si>
    <t>Three-company structure</t>
  </si>
  <si>
    <t>Segment labels / organizational scope</t>
  </si>
  <si>
    <t>FY2023 onward</t>
  </si>
  <si>
    <t>Holding-company structure began July 2023 with Japan and overseas operating companies.</t>
  </si>
  <si>
    <t>Recent labels retained; historical segments not force-mapped.</t>
  </si>
  <si>
    <t>Segment benchmarking needs a dedicated comparable taxonomy.</t>
  </si>
  <si>
    <t>Data-center transactions</t>
  </si>
  <si>
    <t>Operating profit; EBITDA; PP&amp;E; investing CF</t>
  </si>
  <si>
    <t>FY2024–FY2025</t>
  </si>
  <si>
    <t>Assets held for sale and transfer/disposal gains introduce one-offs.</t>
  </si>
  <si>
    <t>Events documented; raw figures left unadjusted.</t>
  </si>
  <si>
    <t>Later margin/cash-conversion analysis should isolate one-offs where appropriate.</t>
  </si>
  <si>
    <t>Delisting / ownership change</t>
  </si>
  <si>
    <t>Disclosure regime</t>
  </si>
  <si>
    <t>FY2025 onward</t>
  </si>
  <si>
    <t>Shares delisted Sept. 26, 2025 after share consolidation / full-ownership process.</t>
  </si>
  <si>
    <t>Documented as structural event.</t>
  </si>
  <si>
    <t>Future public disclosure may differ from pre-delisting years.</t>
  </si>
  <si>
    <t>Historical segment definitions change</t>
  </si>
  <si>
    <t>Segment revenue / profit</t>
  </si>
  <si>
    <t>FY2015–FY2025</t>
  </si>
  <si>
    <t>Organization changed through global expansion and 2023 reorganization.</t>
  </si>
  <si>
    <t>Segments sheet is long-form; labels preserved.</t>
  </si>
  <si>
    <t>No false historical segment continuity is implied.</t>
  </si>
  <si>
    <t>Major contract wins not exhaustively compiled</t>
  </si>
  <si>
    <t>Orders / backlog qualitative detail</t>
  </si>
  <si>
    <t>Selected wins are disclosed but not as a standardized complete annual database.</t>
  </si>
  <si>
    <t>Annual order intake/backlog captured; selected contract commentary only.</t>
  </si>
  <si>
    <t>Does not block CCC modelling, but limits contract-level attribution.</t>
  </si>
  <si>
    <t>FX detail not fully populated</t>
  </si>
  <si>
    <t>USD/JPY; EUR/JPY; constant currency</t>
  </si>
  <si>
    <t>FX is lower-priority for core working-capital build and varies by disclosure year.</t>
  </si>
  <si>
    <t>No FX conversion is performed; all raw amounts remain JPY.</t>
  </si>
  <si>
    <t>Geographic growth analysis should add FX data before constant-currency conclusions.</t>
  </si>
  <si>
    <t>Fiscal Year</t>
  </si>
  <si>
    <t>Accounting Basis</t>
  </si>
  <si>
    <t>Main Model</t>
  </si>
  <si>
    <t>Avg-Balance Ratios</t>
  </si>
  <si>
    <t>Structural Period</t>
  </si>
  <si>
    <t>Notes</t>
  </si>
  <si>
    <t>Context only</t>
  </si>
  <si>
    <t>No</t>
  </si>
  <si>
    <t>Historical</t>
  </si>
  <si>
    <t>Pre-IFRS</t>
  </si>
  <si>
    <t>Transition</t>
  </si>
  <si>
    <t>JGAAP→IFRS</t>
  </si>
  <si>
    <t>Yes</t>
  </si>
  <si>
    <t>No / limited</t>
  </si>
  <si>
    <t>Pre-NTT Ltd.</t>
  </si>
  <si>
    <t>First IFRS year</t>
  </si>
  <si>
    <t>Clean</t>
  </si>
  <si>
    <t>Yes, caution</t>
  </si>
  <si>
    <t>Post-NTT Ltd.</t>
  </si>
  <si>
    <t>Enlarged group</t>
  </si>
  <si>
    <t>Partial</t>
  </si>
  <si>
    <t>Some detailed data missing</t>
  </si>
  <si>
    <t>NTT DATA — Phase 2 Working-Capital Model</t>
  </si>
  <si>
    <t>Formula-driven working-capital, operating-cycle and cash-conversion analysis (¥ million; days; percentages).</t>
  </si>
  <si>
    <t>Phase 2 complete. Strict definitions, valid-year chart helpers and visible FY2022 structural-break warnings are retained.</t>
  </si>
  <si>
    <t>DATA QUALITY AND MODEL WARNINGS</t>
  </si>
  <si>
    <t>Period status</t>
  </si>
  <si>
    <t>Normal</t>
  </si>
  <si>
    <t>Structural break</t>
  </si>
  <si>
    <t>Period(s)</t>
  </si>
  <si>
    <t>Model treatment</t>
  </si>
  <si>
    <t>Do not average JGAAP and IFRS balances. Contract assets and total contract liabilities use explicit FY2017 IFRS-restated bridge values; other FY2018 averages remain unavailable.</t>
  </si>
  <si>
    <t>RAW MODEL INPUTS</t>
  </si>
  <si>
    <t>NTT Ltd. structural break</t>
  </si>
  <si>
    <t>FY2022 Structural Break — NTT Ltd. consolidation. Average balance spans different consolidation scopes and should not be interpreted as an ordinary like-for-like operational change.</t>
  </si>
  <si>
    <t>Revenue</t>
  </si>
  <si>
    <t>FY2025 disclosure limitations</t>
  </si>
  <si>
    <t>Pure trade receivables, separate contract assets, pure trade payables and total contract liabilities are unavailable. No split is estimated; only total inventory supports a FY2025 average.</t>
  </si>
  <si>
    <t>Cost of Sales</t>
  </si>
  <si>
    <t>Definition consistency</t>
  </si>
  <si>
    <t>All years</t>
  </si>
  <si>
    <t>Opening and closing balances must represent the same accounting and economic item.</t>
  </si>
  <si>
    <t>Trade Receivables — Pure</t>
  </si>
  <si>
    <t>Pure versus combined accounts</t>
  </si>
  <si>
    <t>Do not mix pure trade receivables or payables with combined trade-and-other balances or with receivables plus contract assets.</t>
  </si>
  <si>
    <t>Contract Assets — Separate</t>
  </si>
  <si>
    <t>Contract-liability scope</t>
  </si>
  <si>
    <t>Use total contract liabilities consistently. Do not substitute current contract liabilities for a missing total balance.</t>
  </si>
  <si>
    <t>Inventory — Total</t>
  </si>
  <si>
    <t>Phase 2 complete</t>
  </si>
  <si>
    <t>Steps 3–10</t>
  </si>
  <si>
    <t>DSO, Contract Asset Days, DIO, DPO, Contract Liability Days, Traditional and Adjusted CCC, OWC and cash-conversion ratios are complete only for valid comparable years.</t>
  </si>
  <si>
    <t>Trade Payables — Pure</t>
  </si>
  <si>
    <t>Contract Liabilities — Total</t>
  </si>
  <si>
    <t>FORMULA CONVENTION</t>
  </si>
  <si>
    <t>IFRS-RESTATED OPENING BRIDGE INPUTS</t>
  </si>
  <si>
    <t>Cross-sheet source links</t>
  </si>
  <si>
    <t>Green font</t>
  </si>
  <si>
    <t>Phase 1 raw data feeds the model input rows.</t>
  </si>
  <si>
    <t>FY2017 IFRS-restated Contract Assets — FY2018 opening</t>
  </si>
  <si>
    <t>Same-sheet calculations</t>
  </si>
  <si>
    <t>Black font</t>
  </si>
  <si>
    <t>Average formulas reference the model input rows.</t>
  </si>
  <si>
    <t>FY2017 IFRS-restated Contract Liabilities — FY2018 opening</t>
  </si>
  <si>
    <t>Unavailable data</t>
  </si>
  <si>
    <t>Grey fill</t>
  </si>
  <si>
    <t>Missing or incomparable balances remain text, never zero.</t>
  </si>
  <si>
    <t>Amber fill</t>
  </si>
  <si>
    <t>FY2022 averages remain calculated but require caution.</t>
  </si>
  <si>
    <t>AVERAGE BALANCES</t>
  </si>
  <si>
    <t>Average Trade Receivables</t>
  </si>
  <si>
    <t>Average Contract Assets</t>
  </si>
  <si>
    <t>DSO INTERPRETATION AND WARNINGS</t>
  </si>
  <si>
    <t>Average Inventory</t>
  </si>
  <si>
    <t>Interpretation / treatment</t>
  </si>
  <si>
    <t>Average Trade Payables</t>
  </si>
  <si>
    <t>DSO definition</t>
  </si>
  <si>
    <t>Valid years</t>
  </si>
  <si>
    <t>DSO measures invoiced-but-uncollected receivables relative to annual revenue. It does not capture cash tied up before invoicing in contract assets. Contract Asset Days will be analysed separately in Step 4.</t>
  </si>
  <si>
    <t>Average Contract Liabilities</t>
  </si>
  <si>
    <t>Structural break — NTT Ltd. consolidation / business combination. Average receivables span materially different consolidation scopes. Interpret with caution.</t>
  </si>
  <si>
    <t>Unavailable DSO</t>
  </si>
  <si>
    <t>DSO is unavailable under the strict pure-trade-receivable definition because comparable pure trade receivables cannot be reliably isolated. Combined receivable captions are not substituted.</t>
  </si>
  <si>
    <t>EFFICIENCY METRICS</t>
  </si>
  <si>
    <t>Preliminary observation</t>
  </si>
  <si>
    <t>FY2019–FY2023</t>
  </si>
  <si>
    <t>Pre-NTT Ltd., reported DSO was relatively stable around 79–80 days from FY2019–FY2021. Reported DSO then increased in FY2022–FY2023. FY2022 onward is affected by the NTT Ltd. structural change, so the increase cannot yet be attributed solely to weaker collection efficiency.</t>
  </si>
  <si>
    <t>Days Sales Outstanding (DSO)</t>
  </si>
  <si>
    <t>Contract Asset Days</t>
  </si>
  <si>
    <t>DSO CHART DATA — VALID YEARS ONLY</t>
  </si>
  <si>
    <t>Days Inventory Outstanding (DIO)</t>
  </si>
  <si>
    <t>DSO</t>
  </si>
  <si>
    <t>Days Payables Outstanding (DPO)</t>
  </si>
  <si>
    <t>Contract Liability Days</t>
  </si>
  <si>
    <t>FY2022: structural break — NTT Ltd. consolidation / business combination</t>
  </si>
  <si>
    <t>CONTRACT ASSET DAYS INTERPRETATION AND WARNINGS</t>
  </si>
  <si>
    <t>Methodology</t>
  </si>
  <si>
    <t>Contract Asset Days measures average contract assets relative to annual revenue. It approximates how much annual revenue is tied up in work already performed but not yet converted into unconditional trade receivables.</t>
  </si>
  <si>
    <t>IFRS opening bridge</t>
  </si>
  <si>
    <t>FY2018 uses an explicitly disclosed IFRS-restated FY2017 contract-asset balance as the opening balance.</t>
  </si>
  <si>
    <t>Structural break — NTT Ltd. consolidation / business combination. Average Contract Assets spans materially different consolidation scopes. Interpret with caution.</t>
  </si>
  <si>
    <t>Unavailable Contract Asset Days</t>
  </si>
  <si>
    <t>FY2025 is unavailable because a separate comparable Contract Assets closing balance cannot be reliably isolated from the broader disclosed category. No split is estimated.</t>
  </si>
  <si>
    <t>Customer-side diagnostic</t>
  </si>
  <si>
    <t>Overlapping years</t>
  </si>
  <si>
    <t>DSO measures post-invoice receivables timing. Contract Asset Days measures pre-invoice / pre-unconditional receivable timing. DSO is substantially larger over the overlapping years, but the metrics remain separately reported.</t>
  </si>
  <si>
    <t>FY2018–FY2024</t>
  </si>
  <si>
    <t>Contract Asset Days remained within a relatively narrow range over FY2018–FY2024, broadly around 11–15 days. The metric declined after the FY2022 structural change before rising again in FY2024. This suggests that the large increase previously observed in DSO is not mirrored by an equally large increase in Contract Asset Days.</t>
  </si>
  <si>
    <t>CONTRACT ASSET DAYS CHART DATA — VALID YEARS ONLY</t>
  </si>
  <si>
    <t>DIO INTERPRETATION AND WARNINGS</t>
  </si>
  <si>
    <t>DIO measures average inventory relative to annual Cost of Sales. It approximates how many days of the cost base are tied up in inventory.</t>
  </si>
  <si>
    <t>Unavailable DIO</t>
  </si>
  <si>
    <t>FY2018 remains unavailable because a sufficiently comparable opening IFRS inventory balance is not used under the current model.</t>
  </si>
  <si>
    <t>Structural break — NTT Ltd. consolidation materially changed group scope and inventory base. Interpret with caution. No pro-forma inventory balance is estimated.</t>
  </si>
  <si>
    <t>FY2019–FY2025</t>
  </si>
  <si>
    <t>DIO was relatively low at approximately 3–4 days during FY2019–FY2021, increased to roughly 7 days in FY2022–FY2023, and then moderated somewhat. Despite the increase, inventory remains a comparatively small component of NTT DATA's operating cycle relative to receivables.</t>
  </si>
  <si>
    <t>DIO CHART DATA — VALID YEARS ONLY</t>
  </si>
  <si>
    <t>DIO</t>
  </si>
  <si>
    <t>DPO INTERPRETATION AND WARNINGS</t>
  </si>
  <si>
    <t>DPO uses Average Trade Payables divided by Cost of Sales × 365. It approximates the number of annual cost-of-sales days funded by unpaid pure trade payables.</t>
  </si>
  <si>
    <t>Strict payable definition</t>
  </si>
  <si>
    <t>Only pure trade payables feed the numerator. Trade and other payables, accrued expenses and other combined liabilities are not substituted.</t>
  </si>
  <si>
    <t>Structural break — NTT Ltd. consolidation / business combination. The average spans materially different group scopes; no pro-forma balance is estimated.</t>
  </si>
  <si>
    <t>Availability and preliminary observation</t>
  </si>
  <si>
    <t>DPO is available only from FY2019 through FY2023. It was about 30–31 days through FY2021, then increased to roughly 40 days in FY2022 and 49 days in FY2023. The higher supplier-funding signal requires caution around the structural change and is not automatically positive.</t>
  </si>
  <si>
    <t>CONTRACT LIABILITY DAYS INTERPRETATION AND WARNINGS</t>
  </si>
  <si>
    <t>Contract Liability Days uses Average Contract Liabilities divided by Revenue × 365. It approximates customer advance funding relative to annual revenue.</t>
  </si>
  <si>
    <t>FY2018 uses the explicit FY2017 IFRS-restated total contract-liability balance as its opening input. JGAAP advances received are not used.</t>
  </si>
  <si>
    <t>Total versus current scope</t>
  </si>
  <si>
    <t>The model uses total contract liabilities consistently. Current contract liabilities are not substituted to extend FY2025.</t>
  </si>
  <si>
    <t>Structural break — NTT Ltd. consolidation / business combination. The average spans materially different scopes and should be interpreted cautiously.</t>
  </si>
  <si>
    <t>Contract Liability Days stayed broadly in the high-30s to low-40s. Customer advances therefore provide a material and relatively steady operating-cycle funding offset. FY2025 is unavailable because comparable total contract liabilities are not isolated.</t>
  </si>
  <si>
    <t>CCC INTERPRETATION AND WARNINGS</t>
  </si>
  <si>
    <t>AGGREGATE METRICS</t>
  </si>
  <si>
    <t>Traditional Cash Conversion Cycle (CCC)</t>
  </si>
  <si>
    <t>Strict complete-component rule</t>
  </si>
  <si>
    <t>Traditional CCC is calculated only where DSO, DIO and DPO are all valid. Adjusted CCC is calculated only where all five validated days components are valid; missing metrics are never treated as zero.</t>
  </si>
  <si>
    <t>Adjusted Cash Conversion Cycle</t>
  </si>
  <si>
    <t>Comparable window</t>
  </si>
  <si>
    <t>Both CCC measures have the same shortened comparable window because pure trade receivables and payables are required.</t>
  </si>
  <si>
    <t>Structural break — NTT Ltd. consolidation / business combination. FY2022 and post-combination changes cannot be attributed solely to ordinary operating execution.</t>
  </si>
  <si>
    <t>Standalone interpretation</t>
  </si>
  <si>
    <t>Traditional CCC increased modestly after FY2021, while Adjusted CCC stayed broadly in the mid-to-high 20-day range because supplier financing and customer advances offset much of the customer-side cash tie-up. Peer-relative judgement is deferred to Phase 3.</t>
  </si>
  <si>
    <t>OPERATING WORKING CAPITAL — CLOSING BALANCES (¥ million)</t>
  </si>
  <si>
    <t>OWC METHODOLOGY AND WARNINGS</t>
  </si>
  <si>
    <t>Definition</t>
  </si>
  <si>
    <t>OWC equals closing pure Trade Receivables + separate Contract Assets + total Inventory − pure Trade Payables − total Contract Liabilities. Average balances are not used for this point-in-time stock.</t>
  </si>
  <si>
    <t>Strict completeness</t>
  </si>
  <si>
    <t>If any of the five closing components is unavailable, OWC and OWC / Revenue remain unavailable. Combined receivable or payable captions are not substituted.</t>
  </si>
  <si>
    <t>Structural break — NTT Ltd. consolidation / business combination. The FY2022 step-up reflects a materially enlarged group as well as operating movements.</t>
  </si>
  <si>
    <t>less: Trade Payables — Pure</t>
  </si>
  <si>
    <t>FY2018–FY2023</t>
  </si>
  <si>
    <t>OWC and OWC / Revenue are valid through FY2023 only. FY2024–FY2025 lack isolated pure trade receivables and pure trade payables.</t>
  </si>
  <si>
    <t>less: Contract Liabilities — Total</t>
  </si>
  <si>
    <t>Preliminary direction</t>
  </si>
  <si>
    <t>Absolute OWC increased materially by FY2022–FY2023. OWC / Revenue rose to about 12.8% in FY2022 and eased to about 11.4% in FY2023; the structural break limits attribution.</t>
  </si>
  <si>
    <t>Operating Working Capital</t>
  </si>
  <si>
    <t>OWC / Revenue</t>
  </si>
  <si>
    <t>CASH CONVERSION METHODOLOGY AND WARNINGS</t>
  </si>
  <si>
    <t>Reported numerator</t>
  </si>
  <si>
    <t>All three ratios use reported cash flow from operating activities. No cash-flow proxy is used.</t>
  </si>
  <si>
    <t>CASH CONVERSION INPUTS (¥ million)</t>
  </si>
  <si>
    <t>CFO / EBITDA</t>
  </si>
  <si>
    <t>Uses the officially reported EBITDA KPI as the denominator; it is not an analyst reconstruction.</t>
  </si>
  <si>
    <t>CFO / Operating Profit</t>
  </si>
  <si>
    <t>Uses the company's reported Operating Profit. It is labelled exactly and is not renamed EBIT.</t>
  </si>
  <si>
    <t>Operating Cash Flow (reported CFO)</t>
  </si>
  <si>
    <t>CFO / Net Income</t>
  </si>
  <si>
    <t>Uses consolidated Net Income / Profit for the Year consistently rather than profit attributable to owners.</t>
  </si>
  <si>
    <t>Structural break — NTT Ltd. consolidation / business combination. Changes in scale and business mix reduce like-for-like comparability.</t>
  </si>
  <si>
    <t>Operating Profit</t>
  </si>
  <si>
    <t>Assets held for sale and transfer/disposal gains can distort operating-profit and EBITDA trends; the reported ratios remain unadjusted.</t>
  </si>
  <si>
    <t>Net Income / Profit for the Year</t>
  </si>
  <si>
    <t>FY2025 limitation</t>
  </si>
  <si>
    <t>Full-year reported operating cash flow is unavailable in the current Phase 1 database. FY2025 ratios remain unavailable and CFO is not estimated.</t>
  </si>
  <si>
    <t>Reported CFO exceeded Operating Profit and Net Income in every valid year, but CFO / EBITDA varied materially and fell to roughly 64% in FY2024. Conversion therefore appears positive but not uniform and requires peer benchmarking.</t>
  </si>
  <si>
    <t>CASH CONVERSION METRICS</t>
  </si>
  <si>
    <t>NTT DATA — Phase 2 Working-Capital and Cash-Conversion Summary</t>
  </si>
  <si>
    <t>Standalone analysis; IFRS-era years shown only where definitions and source availability are comparable.</t>
  </si>
  <si>
    <t>CASH CONVERSION CHART DATA — VALID YEARS ONLY</t>
  </si>
  <si>
    <t>A. KEY METRICS TABLE</t>
  </si>
  <si>
    <t>B. KEY FINDINGS</t>
  </si>
  <si>
    <t>Area</t>
  </si>
  <si>
    <t>Evidence-based takeaway</t>
  </si>
  <si>
    <t>Customer-side cash tie-up</t>
  </si>
  <si>
    <t>Pure DSO is the largest measured days component. It was about 79–80 days in FY2019–FY2021 and increased to 87 days in FY2022 and 98 days in FY2023; the change requires structural-break and peer context.</t>
  </si>
  <si>
    <t>Unbilled work</t>
  </si>
  <si>
    <t>Contract Asset Days stayed within a narrower range of about 11–15 days. The DSO increase was not matched by a comparable increase in unbilled work.</t>
  </si>
  <si>
    <t>Inventory</t>
  </si>
  <si>
    <t>DIO remained small relative to receivables, although it rose from roughly 3–4 days before FY2022 to about 7 days in FY2022–FY2023.</t>
  </si>
  <si>
    <t>Supplier funding</t>
  </si>
  <si>
    <t>DPO increased from about 30–31 days through FY2021 to roughly 40 days in FY2022 and 49 days in FY2023, materially offsetting the rise in customer-side days.</t>
  </si>
  <si>
    <t>Customer advance funding</t>
  </si>
  <si>
    <t>Contract Liability Days remained broadly in the high-30s to low-40s, providing a substantial and relatively steady customer-funding offset.</t>
  </si>
  <si>
    <t>Traditional CCC</t>
  </si>
  <si>
    <t>Overall operating cycle</t>
  </si>
  <si>
    <t>Traditional CCC rose modestly from about 51–53 days to 56 days by FY2023, while Adjusted CCC stayed broadly around 25–29 days because DPO and contract liabilities absorbed much of the tie-up.</t>
  </si>
  <si>
    <t>Adjusted CCC</t>
  </si>
  <si>
    <t>Profit-to-cash conversion</t>
  </si>
  <si>
    <t>Reported CFO exceeded Operating Profit and Net Income in all valid years. CFO / EBITDA ranged from about 64% to 110%, indicating positive but variable conversion, with FY2024 weaker on this measure.</t>
  </si>
  <si>
    <t>OWC CHART DATA — VALID YEARS ONLY</t>
  </si>
  <si>
    <t>Operating Working Capital (¥ million)</t>
  </si>
  <si>
    <t>COMPONENT BRIDGE — VALID COMPARABLE YEARS</t>
  </si>
  <si>
    <t>COMPONENT CHART DATA — VALID YEARS ONLY</t>
  </si>
  <si>
    <t>DPO</t>
  </si>
  <si>
    <t>DPO (funding; negative)</t>
  </si>
  <si>
    <t>Contract Liability Days (funding; negative)</t>
  </si>
  <si>
    <t>FY2022: structural break — NTT Ltd. combination</t>
  </si>
  <si>
    <t>C. COMPARABILITY WARNINGS / PHASE 2 LIMITATIONS</t>
  </si>
  <si>
    <t>D. PHASE 3 PRIORITIES</t>
  </si>
  <si>
    <t>Affected period(s)</t>
  </si>
  <si>
    <t>Treatment / impact</t>
  </si>
  <si>
    <t>Rank</t>
  </si>
  <si>
    <t>Priority metric</t>
  </si>
  <si>
    <t>Why benchmark next</t>
  </si>
  <si>
    <t>JGAAP / IFRS boundary</t>
  </si>
  <si>
    <t>The main analysis begins in the IFRS era. FY2018 averages use an IFRS-restated opening bridge only for contract assets and total contract liabilities.</t>
  </si>
  <si>
    <t>Largest measured cash-tie-up component and the clearest post-FY2021 increase; peer context is needed before judging efficiency.</t>
  </si>
  <si>
    <t>The combination materially changed group scope. FY2022 averages span different scopes; no pro-forma adjustment is estimated.</t>
  </si>
  <si>
    <t>Captures the overall year-end cash burden and increased around the FY2022 structural change.</t>
  </si>
  <si>
    <t>Pure trade AR / AP gaps</t>
  </si>
  <si>
    <t>Pure trade receivables and pure trade payables cannot be isolated reliably. DSO, DPO, CCC and OWC are unavailable rather than broadened.</t>
  </si>
  <si>
    <t>Most economically complete operating-cycle measure because it includes unbilled work and customer advances.</t>
  </si>
  <si>
    <t>Contract-balance gaps</t>
  </si>
  <si>
    <t>Separate contract assets and comparable total contract liabilities are unavailable. Current contract liabilities are not substituted.</t>
  </si>
  <si>
    <t>Reported conversion varied materially and weakened in FY2024, warranting cross-company context and one-off review.</t>
  </si>
  <si>
    <t>Reported CFO gap</t>
  </si>
  <si>
    <t>Full-year operating cash flow is unavailable in the current database; cash-conversion ratios remain unavailable and CFO is not estimated.</t>
  </si>
  <si>
    <t>The supplier-funding offset rose sharply after FY2021; benchmarking can test whether this reflects normal terms or payment stretch.</t>
  </si>
  <si>
    <t>Shortened windows</t>
  </si>
  <si>
    <t>CCC FY2019–FY2023; OWC FY2018–FY2023</t>
  </si>
  <si>
    <t>Shorter consistent series are used in preference to longer inconsistent series.</t>
  </si>
  <si>
    <t>Customer advances are a meaningful funding source and should be compared using consistent total-liability definitions.</t>
  </si>
  <si>
    <t>Held-for-sale and transfer/disposal effects can distort reported Operating Profit and EBITDA; ratios remain reported and unadjusted.</t>
  </si>
  <si>
    <t>Unbilled work was comparatively stable, but peer comparison can test whether its 11–15 day range is structurally normal.</t>
  </si>
  <si>
    <t>Definition limitations</t>
  </si>
  <si>
    <t>Pure AR/AP and total contract-liability definitions are held constant. No combined captions, peer data, cash-release opportunity or financing savings are introduced.</t>
  </si>
  <si>
    <t>Phase 3 peer set: Accenture, Capgemini, CGI and TCS. No peer data are included in this Phase 2 workbook.</t>
  </si>
  <si>
    <t>PHASE 2 — NTT DATA STANDALONE DIAGNOSIS</t>
  </si>
  <si>
    <t>Diagnostic question</t>
  </si>
  <si>
    <t>Standalone conclusion</t>
  </si>
  <si>
    <t>1. How did the operating working-capital profile change?</t>
  </si>
  <si>
    <t>Comparable OWC declined from 10.3% of revenue in FY2018 to 8.7% in FY2019, then rose to 10.3% in FY2021, 12.8% in FY2022 and 11.4% in FY2023. Absolute OWC also expanded. The FY2022 step-up is consistent with the enlarged NTT Ltd. scope as well as operating movements.</t>
  </si>
  <si>
    <t>2. Where is capital tied up most heavily?</t>
  </si>
  <si>
    <t>Invoiced pure trade receivables are the dominant measured tie-up at roughly 79–98 days in the valid window. Contract assets add about 11–15 days, while inventory is much smaller at about 3–7 days.</t>
  </si>
  <si>
    <t>3. What offsets these cash requirements?</t>
  </si>
  <si>
    <t>Supplier financing through DPO contributed about 30–49 days, and customer funding through Contract Liability Days contributed about 38–42 days. Together they substantially reduce the adjusted cycle relative to gross customer-side tie-up.</t>
  </si>
  <si>
    <t>4. Does profit convert into operating cash consistently?</t>
  </si>
  <si>
    <t>Reported CFO exceeded Operating Profit and Net Income in every valid year, which is consistent with positive conversion. However, CFO / EBITDA ranged from about 64% to 110% and declined to 64% in FY2024, so conversion is not uniform and requires peer benchmarking and one-off review.</t>
  </si>
  <si>
    <t>5. Which changes appear operational versus structural?</t>
  </si>
  <si>
    <t>Pre-FY2022 movements were comparatively modest. The FY2022 jump in balances, DSO, DIO, DPO and OWC coincides with the NTT Ltd. combination, so it cannot be attributed solely to execution. FY2023 may mix enlarged-scope normalization with operating change; FY2024–FY2025 data-center transactions further reduce profit comparability.</t>
  </si>
  <si>
    <t>6. Strongest candidate for Phase 3 benchmarking?</t>
  </si>
  <si>
    <t>DSO currently appears the strongest first candidate because it is the largest tie-up component and increased materially in the valid post-FY2021 observations. OWC / Revenue and Adjusted CCC should follow so the receivables signal is assessed within the full funding structure.</t>
  </si>
  <si>
    <t>PHASE 2 CONCLUSION</t>
  </si>
  <si>
    <t>NTT DATA's standalone results suggest that receivables are the main measured use of operating cash, while supplier terms and customer advances provide meaningful offsets. The fully adjusted cycle remained comparatively contained through FY2023 despite higher DSO, but structural changes reduce like-for-like interpretation. Peer benchmarking—not a cash-release estimate—is the appropriate next analytical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</si>
</sst>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Red]\(#,##0.0\);\-"/>
    <numFmt numFmtId="166" formatCode="0.0\ &quot;days&quot;"/>
    <numFmt numFmtId="167" formatCode="0.0%"/>
  </numFmts>
  <fonts count="27">
    <font>
      <sz val="11"/>
      <name val="Carlito"/>
    </font>
    <font>
      <b/>
      <sz val="15"/>
      <color rgb="FFFFFFFF"/>
      <name val="Carlito"/>
    </font>
    <font>
      <i/>
      <sz val="10"/>
      <color rgb="FF666666"/>
      <name val="Carlito"/>
    </font>
    <font>
      <b/>
      <sz val="11"/>
      <color rgb="FFFFFFFF"/>
      <name val="Carlito"/>
    </font>
    <font>
      <b/>
      <sz val="11"/>
      <name val="Carlito"/>
    </font>
    <font>
      <sz val="11"/>
      <color rgb="FF0000FF"/>
      <name val="Carlito"/>
    </font>
    <font>
      <sz val="9"/>
      <color rgb="FF008000"/>
      <name val="Carlito"/>
    </font>
    <font>
      <sz val="9"/>
      <color rgb="FF666666"/>
      <name val="Carlito"/>
    </font>
    <font>
      <sz val="11"/>
      <color rgb="FF008000"/>
      <name val="Carlito"/>
    </font>
    <font>
      <sz val="11"/>
      <color rgb="FF0563C1"/>
      <name val="Carlito"/>
    </font>
    <font>
      <b/>
      <sz val="11"/>
      <color rgb="FF008000"/>
      <name val="Carlito"/>
    </font>
    <font>
      <sz val="11"/>
      <color rgb="FF222222"/>
      <name val="Carlito"/>
    </font>
    <font>
      <b/>
      <sz val="11"/>
      <color rgb="FF111111"/>
      <name val="Carlito"/>
    </font>
    <font>
      <b/>
      <i/>
      <sz val="10"/>
      <color rgb="FF9C5700"/>
      <name val="Carlito"/>
    </font>
    <font>
      <sz val="11"/>
      <color rgb="FF000000"/>
      <name val="Carlito"/>
    </font>
    <font>
      <b/>
      <sz val="11"/>
      <color rgb="FF222222"/>
      <name val="Carlito"/>
    </font>
    <font>
      <b/>
      <sz val="10"/>
      <color rgb="FF111111"/>
      <name val="Carlito"/>
    </font>
    <font>
      <sz val="10"/>
      <color rgb="FF222222"/>
      <name val="Carlito"/>
    </font>
    <font>
      <b/>
      <sz val="10"/>
      <color rgb="FF9C5700"/>
      <name val="Carlito"/>
    </font>
    <font>
      <sz val="10"/>
      <color rgb="FF008000"/>
      <name val="Carlito"/>
    </font>
    <font>
      <i/>
      <sz val="11"/>
      <color rgb="FF000000"/>
      <name val="Carlito"/>
    </font>
    <font>
      <b/>
      <i/>
      <sz val="11"/>
      <color rgb="FF222222"/>
      <name val="Carlito"/>
    </font>
    <font>
      <b/>
      <i/>
      <sz val="11"/>
      <color rgb="FF9C5700"/>
      <name val="Carlito"/>
    </font>
    <font>
      <b/>
      <sz val="10"/>
      <color rgb="FF222222"/>
      <name val="Carlito"/>
    </font>
    <font>
      <b/>
      <sz val="10"/>
      <color rgb="FF17365D"/>
      <name val="Carlito"/>
    </font>
    <font>
      <b/>
      <sz val="11"/>
      <color rgb="FF17365D"/>
      <name val="Carlito"/>
    </font>
    <font>
      <i/>
      <sz val="10"/>
      <color rgb="FF17365D"/>
      <name val="Carlito"/>
    </font>
  </fonts>
  <fills count="27">
    <fill>
      <patternFill patternType="none"/>
    </fill>
    <fill>
      <patternFill patternType="gray125"/>
    </fill>
    <fill>
      <patternFill patternType="solid">
        <fgColor rgb="FF17365D"/>
      </patternFill>
    </fill>
    <fill>
      <patternFill patternType="solid">
        <fgColor rgb="FFF3F6FA"/>
      </patternFill>
    </fill>
    <fill>
      <patternFill patternType="solid">
        <fgColor rgb="FFFFF2CC"/>
      </patternFill>
    </fill>
    <fill>
      <patternFill patternType="solid">
        <fgColor rgb="FFD9EAF7"/>
      </patternFill>
    </fill>
    <fill>
      <patternFill patternType="solid">
        <fgColor rgb="FF17365D"/>
      </patternFill>
    </fill>
    <fill>
      <patternFill patternType="solid">
        <fgColor rgb="FF17365D"/>
      </patternFill>
    </fill>
    <fill>
      <patternFill patternType="solid">
        <fgColor rgb="FFD9EAF7"/>
      </patternFill>
    </fill>
    <fill>
      <patternFill patternType="solid">
        <fgColor rgb="FFF3F6FA"/>
      </patternFill>
    </fill>
    <fill>
      <patternFill patternType="solid">
        <fgColor rgb="FFF2F2F2"/>
      </patternFill>
    </fill>
    <fill>
      <patternFill patternType="solid">
        <fgColor rgb="FFFFF2CC"/>
      </patternFill>
    </fill>
    <fill>
      <patternFill patternType="solid">
        <fgColor rgb="FF17365D"/>
      </patternFill>
    </fill>
    <fill>
      <patternFill patternType="solid">
        <fgColor rgb="FFFFF2CC"/>
      </patternFill>
    </fill>
    <fill>
      <patternFill patternType="solid">
        <fgColor rgb="FFD9EAF7"/>
      </patternFill>
    </fill>
    <fill>
      <patternFill patternType="solid">
        <fgColor rgb="FFFFF2CC"/>
      </patternFill>
    </fill>
    <fill>
      <patternFill patternType="solid">
        <fgColor rgb="FF17365D"/>
      </patternFill>
    </fill>
    <fill>
      <patternFill patternType="solid">
        <fgColor rgb="FFD9EAF7"/>
      </patternFill>
    </fill>
    <fill>
      <patternFill patternType="solid">
        <fgColor rgb="FFFFFFFF"/>
      </patternFill>
    </fill>
    <fill>
      <patternFill patternType="solid">
        <fgColor rgb="FFFFF2CC"/>
      </patternFill>
    </fill>
    <fill>
      <patternFill patternType="solid">
        <fgColor rgb="FF17365D"/>
      </patternFill>
    </fill>
    <fill>
      <patternFill patternType="solid">
        <fgColor rgb="FFD9EAF7"/>
      </patternFill>
    </fill>
    <fill>
      <patternFill patternType="solid">
        <fgColor rgb="FFFFF2CC"/>
      </patternFill>
    </fill>
    <fill>
      <patternFill patternType="solid">
        <fgColor rgb="FFFFFFFF"/>
      </patternFill>
    </fill>
    <fill>
      <patternFill patternType="solid">
        <fgColor rgb="FF17365D"/>
      </patternFill>
    </fill>
    <fill>
      <patternFill patternType="solid">
        <fgColor rgb="FFD9EAF7"/>
      </patternFill>
    </fill>
    <fill>
      <patternFill patternType="solid">
        <fgColor rgb="FFF3F6FA"/>
      </patternFill>
    </fill>
  </fills>
  <borders count="17">
    <border>
      <left/>
      <right/>
      <top/>
      <bottom/>
      <diagonal/>
    </border>
    <border>
      <left/>
      <right/>
      <top/>
      <bottom style="thin">
        <color rgb="FFB7C9DD"/>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B4C6E7"/>
      </bottom>
      <diagonal/>
    </border>
    <border>
      <left style="thin">
        <color rgb="FF17365D"/>
      </left>
      <right/>
      <top style="thin">
        <color rgb="FF17365D"/>
      </top>
      <bottom style="thin">
        <color rgb="FF17365D"/>
      </bottom>
      <diagonal/>
    </border>
    <border>
      <left/>
      <right/>
      <top style="thin">
        <color rgb="FF17365D"/>
      </top>
      <bottom style="thin">
        <color rgb="FF17365D"/>
      </bottom>
      <diagonal/>
    </border>
    <border>
      <left/>
      <right style="thin">
        <color rgb="FF17365D"/>
      </right>
      <top style="thin">
        <color rgb="FF17365D"/>
      </top>
      <bottom style="thin">
        <color rgb="FF17365D"/>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top style="thin">
        <color rgb="FFB4C6E7"/>
      </top>
      <bottom/>
      <diagonal/>
    </border>
    <border>
      <left/>
      <right/>
      <top style="thin">
        <color rgb="FFB4C6E7"/>
      </top>
      <bottom/>
      <diagonal/>
    </border>
    <border>
      <left/>
      <right style="thin">
        <color rgb="FFB4C6E7"/>
      </right>
      <top style="thin">
        <color rgb="FFB4C6E7"/>
      </top>
      <bottom/>
      <diagonal/>
    </border>
    <border>
      <left style="thin">
        <color rgb="FFB4C6E7"/>
      </left>
      <right/>
      <top/>
      <bottom style="thin">
        <color rgb="FFB4C6E7"/>
      </bottom>
      <diagonal/>
    </border>
    <border>
      <left/>
      <right/>
      <top/>
      <bottom style="thin">
        <color rgb="FFB4C6E7"/>
      </bottom>
      <diagonal/>
    </border>
    <border>
      <left/>
      <right style="thin">
        <color rgb="FFB4C6E7"/>
      </right>
      <top/>
      <bottom style="thin">
        <color rgb="FFB4C6E7"/>
      </bottom>
      <diagonal/>
    </border>
  </borders>
  <cellStyleXfs count="1">
    <xf numFmtId="0" fontId="0" fillId="0" borderId="0"/>
  </cellStyleXfs>
  <cellXfs count="162">
    <xf numFmtId="0" fontId="0" fillId="0" borderId="0" xfId="0"/>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3" fillId="2" borderId="0" xfId="0" applyFont="1" applyFill="1" applyAlignment="1">
      <alignment horizontal="center" vertical="top"/>
    </xf>
    <xf numFmtId="0" fontId="4" fillId="5" borderId="1" xfId="0" applyFont="1" applyFill="1" applyBorder="1" applyAlignment="1">
      <alignment horizontal="center" vertical="top" wrapText="1"/>
    </xf>
    <xf numFmtId="164" fontId="5" fillId="0" borderId="0" xfId="0" applyNumberFormat="1" applyFont="1" applyAlignment="1">
      <alignment horizontal="right" vertical="top" wrapText="1"/>
    </xf>
    <xf numFmtId="0" fontId="6" fillId="0" borderId="0" xfId="0" applyFont="1" applyAlignment="1">
      <alignment horizontal="center" vertical="top" wrapText="1"/>
    </xf>
    <xf numFmtId="0" fontId="7" fillId="0" borderId="0" xfId="0" applyFont="1" applyAlignment="1">
      <alignment vertical="top" wrapText="1"/>
    </xf>
    <xf numFmtId="0" fontId="3" fillId="2" borderId="0" xfId="0" applyFont="1" applyFill="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center"/>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 fillId="7" borderId="0" xfId="0" applyFont="1" applyFill="1" applyAlignment="1">
      <alignment vertical="center"/>
    </xf>
    <xf numFmtId="0" fontId="2" fillId="0" borderId="0" xfId="0" applyFont="1" applyAlignment="1">
      <alignment vertical="center"/>
    </xf>
    <xf numFmtId="0" fontId="12" fillId="8" borderId="8" xfId="0" applyFont="1" applyFill="1" applyBorder="1" applyAlignment="1">
      <alignment horizontal="center" vertical="center"/>
    </xf>
    <xf numFmtId="0" fontId="12" fillId="8" borderId="9" xfId="0" applyFont="1" applyFill="1" applyBorder="1" applyAlignment="1">
      <alignment horizontal="center" vertical="center"/>
    </xf>
    <xf numFmtId="0" fontId="12" fillId="8" borderId="10" xfId="0" applyFont="1" applyFill="1" applyBorder="1" applyAlignment="1">
      <alignment horizontal="center" vertical="center"/>
    </xf>
    <xf numFmtId="0" fontId="2" fillId="9" borderId="2" xfId="0" applyFont="1" applyFill="1" applyBorder="1" applyAlignment="1">
      <alignment horizontal="center" vertical="center"/>
    </xf>
    <xf numFmtId="0" fontId="2" fillId="9" borderId="2" xfId="0" applyFont="1" applyFill="1" applyBorder="1" applyAlignment="1">
      <alignment horizontal="left" vertical="center"/>
    </xf>
    <xf numFmtId="0" fontId="2" fillId="10" borderId="2" xfId="0" applyFont="1" applyFill="1" applyBorder="1" applyAlignment="1">
      <alignment horizontal="center" vertical="center"/>
    </xf>
    <xf numFmtId="0" fontId="13" fillId="11" borderId="2" xfId="0" applyFont="1" applyFill="1" applyBorder="1" applyAlignment="1">
      <alignment horizontal="center" vertical="center"/>
    </xf>
    <xf numFmtId="0" fontId="3" fillId="7" borderId="5" xfId="0" applyFont="1" applyFill="1" applyBorder="1" applyAlignment="1">
      <alignment vertical="center"/>
    </xf>
    <xf numFmtId="0" fontId="3" fillId="7" borderId="6" xfId="0" applyFont="1" applyFill="1" applyBorder="1" applyAlignment="1">
      <alignment vertical="center"/>
    </xf>
    <xf numFmtId="0" fontId="3" fillId="7" borderId="7" xfId="0" applyFont="1" applyFill="1" applyBorder="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164" fontId="8" fillId="0" borderId="2" xfId="0" applyNumberFormat="1" applyFont="1" applyBorder="1" applyAlignment="1">
      <alignment horizontal="right" vertical="center"/>
    </xf>
    <xf numFmtId="164" fontId="8" fillId="0" borderId="3" xfId="0" applyNumberFormat="1" applyFont="1" applyBorder="1" applyAlignment="1">
      <alignment horizontal="right" vertical="center"/>
    </xf>
    <xf numFmtId="164" fontId="8" fillId="0" borderId="2" xfId="0" applyNumberFormat="1" applyFont="1" applyBorder="1" applyAlignment="1">
      <alignment horizontal="right" vertical="center" wrapText="1"/>
    </xf>
    <xf numFmtId="164" fontId="8" fillId="0" borderId="3" xfId="0" applyNumberFormat="1" applyFont="1" applyBorder="1" applyAlignment="1">
      <alignment horizontal="right" vertical="center" wrapText="1"/>
    </xf>
    <xf numFmtId="165" fontId="14" fillId="0" borderId="2" xfId="0" applyNumberFormat="1" applyFont="1" applyBorder="1" applyAlignment="1">
      <alignment horizontal="right" vertical="center" wrapText="1"/>
    </xf>
    <xf numFmtId="165" fontId="14" fillId="0" borderId="3" xfId="0" applyNumberFormat="1" applyFont="1" applyBorder="1" applyAlignment="1">
      <alignment horizontal="right" vertical="center" wrapText="1"/>
    </xf>
    <xf numFmtId="0" fontId="16" fillId="8" borderId="8" xfId="0" applyFont="1" applyFill="1" applyBorder="1" applyAlignment="1">
      <alignment horizontal="center" vertical="center"/>
    </xf>
    <xf numFmtId="0" fontId="16" fillId="8" borderId="9" xfId="0" applyFont="1" applyFill="1" applyBorder="1" applyAlignment="1">
      <alignment horizontal="center" vertical="center"/>
    </xf>
    <xf numFmtId="0" fontId="16" fillId="8" borderId="10" xfId="0" applyFont="1" applyFill="1" applyBorder="1" applyAlignment="1">
      <alignment horizontal="center" vertical="center"/>
    </xf>
    <xf numFmtId="0" fontId="17" fillId="0" borderId="2" xfId="0" applyFont="1" applyBorder="1" applyAlignment="1">
      <alignment vertical="center"/>
    </xf>
    <xf numFmtId="0" fontId="17" fillId="0" borderId="3" xfId="0" applyFont="1" applyBorder="1" applyAlignment="1">
      <alignment vertical="center"/>
    </xf>
    <xf numFmtId="0" fontId="17" fillId="0" borderId="2" xfId="0" applyFont="1" applyBorder="1" applyAlignment="1">
      <alignment vertical="top" wrapText="1"/>
    </xf>
    <xf numFmtId="0" fontId="17" fillId="0" borderId="3" xfId="0" applyFont="1" applyBorder="1" applyAlignment="1">
      <alignment vertical="top" wrapText="1"/>
    </xf>
    <xf numFmtId="0" fontId="17" fillId="11" borderId="3" xfId="0" applyFont="1" applyFill="1" applyBorder="1" applyAlignment="1">
      <alignment vertical="top" wrapText="1"/>
    </xf>
    <xf numFmtId="0" fontId="18" fillId="11" borderId="3" xfId="0" applyFont="1" applyFill="1" applyBorder="1" applyAlignment="1">
      <alignment vertical="top" wrapText="1"/>
    </xf>
    <xf numFmtId="0" fontId="19" fillId="0" borderId="2" xfId="0" applyFont="1" applyBorder="1" applyAlignment="1">
      <alignment vertical="top" wrapText="1"/>
    </xf>
    <xf numFmtId="0" fontId="17" fillId="10" borderId="3" xfId="0" applyFont="1" applyFill="1" applyBorder="1" applyAlignment="1">
      <alignment vertical="top" wrapText="1"/>
    </xf>
    <xf numFmtId="0" fontId="3" fillId="12" borderId="5" xfId="0" applyFont="1" applyFill="1" applyBorder="1" applyAlignment="1">
      <alignment vertical="center"/>
    </xf>
    <xf numFmtId="0" fontId="3" fillId="12" borderId="6" xfId="0" applyFont="1" applyFill="1" applyBorder="1" applyAlignment="1">
      <alignment vertical="center"/>
    </xf>
    <xf numFmtId="0" fontId="3" fillId="12" borderId="7" xfId="0" applyFont="1" applyFill="1" applyBorder="1" applyAlignment="1">
      <alignment vertical="center"/>
    </xf>
    <xf numFmtId="0" fontId="21" fillId="0" borderId="2" xfId="0" applyFont="1" applyBorder="1" applyAlignment="1">
      <alignment vertical="center" wrapText="1"/>
    </xf>
    <xf numFmtId="166" fontId="20" fillId="0" borderId="2" xfId="0" applyNumberFormat="1" applyFont="1" applyBorder="1" applyAlignment="1">
      <alignment horizontal="right" vertical="center" wrapText="1"/>
    </xf>
    <xf numFmtId="166" fontId="22" fillId="13" borderId="2" xfId="0" applyNumberFormat="1" applyFont="1" applyFill="1" applyBorder="1" applyAlignment="1">
      <alignment horizontal="right" vertical="center" wrapText="1"/>
    </xf>
    <xf numFmtId="0" fontId="16" fillId="14" borderId="8" xfId="0" applyFont="1" applyFill="1" applyBorder="1" applyAlignment="1">
      <alignment horizontal="center" vertical="center"/>
    </xf>
    <xf numFmtId="0" fontId="16" fillId="14" borderId="9" xfId="0" applyFont="1" applyFill="1" applyBorder="1" applyAlignment="1">
      <alignment horizontal="center" vertical="center"/>
    </xf>
    <xf numFmtId="0" fontId="16" fillId="14" borderId="10" xfId="0" applyFont="1" applyFill="1" applyBorder="1" applyAlignment="1">
      <alignment horizontal="center" vertical="center"/>
    </xf>
    <xf numFmtId="0" fontId="17" fillId="0" borderId="0" xfId="0" applyFont="1"/>
    <xf numFmtId="0" fontId="17" fillId="0" borderId="3" xfId="0" applyFont="1" applyBorder="1"/>
    <xf numFmtId="0" fontId="18" fillId="13" borderId="3" xfId="0" applyFont="1" applyFill="1" applyBorder="1" applyAlignment="1">
      <alignment vertical="top" wrapText="1"/>
    </xf>
    <xf numFmtId="0" fontId="17" fillId="0" borderId="2" xfId="0" applyFont="1" applyBorder="1"/>
    <xf numFmtId="166" fontId="17" fillId="0" borderId="2" xfId="0" applyNumberFormat="1" applyFont="1" applyBorder="1" applyAlignment="1">
      <alignment horizontal="right" vertical="center"/>
    </xf>
    <xf numFmtId="166" fontId="17" fillId="0" borderId="3" xfId="0" applyNumberFormat="1" applyFont="1" applyBorder="1" applyAlignment="1">
      <alignment horizontal="right" vertical="center"/>
    </xf>
    <xf numFmtId="0" fontId="18" fillId="13" borderId="3" xfId="0" applyFont="1" applyFill="1" applyBorder="1" applyAlignment="1">
      <alignment vertical="center"/>
    </xf>
    <xf numFmtId="166" fontId="18" fillId="13" borderId="3" xfId="0" applyNumberFormat="1" applyFont="1" applyFill="1" applyBorder="1" applyAlignment="1">
      <alignment horizontal="right" vertical="center"/>
    </xf>
    <xf numFmtId="166" fontId="22" fillId="15" borderId="2" xfId="0" applyNumberFormat="1" applyFont="1" applyFill="1" applyBorder="1" applyAlignment="1">
      <alignment horizontal="right" vertical="center" wrapText="1"/>
    </xf>
    <xf numFmtId="0" fontId="3" fillId="16" borderId="5" xfId="0" applyFont="1" applyFill="1" applyBorder="1" applyAlignment="1">
      <alignment vertical="center"/>
    </xf>
    <xf numFmtId="0" fontId="3" fillId="16" borderId="6" xfId="0" applyFont="1" applyFill="1" applyBorder="1" applyAlignment="1">
      <alignment vertical="center"/>
    </xf>
    <xf numFmtId="0" fontId="3" fillId="16" borderId="7" xfId="0" applyFont="1" applyFill="1" applyBorder="1" applyAlignment="1">
      <alignment vertical="center"/>
    </xf>
    <xf numFmtId="0" fontId="16" fillId="17" borderId="8" xfId="0" applyFont="1" applyFill="1" applyBorder="1" applyAlignment="1">
      <alignment horizontal="center" vertical="center"/>
    </xf>
    <xf numFmtId="0" fontId="16" fillId="17" borderId="9" xfId="0" applyFont="1" applyFill="1" applyBorder="1" applyAlignment="1">
      <alignment horizontal="center" vertical="center"/>
    </xf>
    <xf numFmtId="0" fontId="16" fillId="17" borderId="10" xfId="0" applyFont="1" applyFill="1" applyBorder="1" applyAlignment="1">
      <alignment horizontal="center" vertical="center"/>
    </xf>
    <xf numFmtId="0" fontId="18" fillId="15" borderId="3" xfId="0" applyFont="1" applyFill="1" applyBorder="1" applyAlignment="1">
      <alignment vertical="top" wrapText="1"/>
    </xf>
    <xf numFmtId="0" fontId="18" fillId="15" borderId="3" xfId="0" applyFont="1" applyFill="1" applyBorder="1" applyAlignment="1">
      <alignment vertical="center"/>
    </xf>
    <xf numFmtId="166" fontId="18" fillId="15" borderId="3" xfId="0" applyNumberFormat="1" applyFont="1" applyFill="1" applyBorder="1" applyAlignment="1">
      <alignment horizontal="right" vertical="center"/>
    </xf>
    <xf numFmtId="0" fontId="21" fillId="18" borderId="2" xfId="0" applyFont="1" applyFill="1" applyBorder="1" applyAlignment="1">
      <alignment vertical="center" wrapText="1"/>
    </xf>
    <xf numFmtId="166" fontId="20" fillId="18" borderId="2" xfId="0" applyNumberFormat="1" applyFont="1" applyFill="1" applyBorder="1" applyAlignment="1">
      <alignment horizontal="right" vertical="center" wrapText="1"/>
    </xf>
    <xf numFmtId="166" fontId="22" fillId="19" borderId="2" xfId="0" applyNumberFormat="1" applyFont="1" applyFill="1" applyBorder="1" applyAlignment="1">
      <alignment horizontal="right" vertical="center" wrapText="1"/>
    </xf>
    <xf numFmtId="0" fontId="3" fillId="20" borderId="5" xfId="0" applyFont="1" applyFill="1" applyBorder="1" applyAlignment="1">
      <alignment vertical="center"/>
    </xf>
    <xf numFmtId="0" fontId="3" fillId="20" borderId="6" xfId="0" applyFont="1" applyFill="1" applyBorder="1" applyAlignment="1">
      <alignment vertical="center"/>
    </xf>
    <xf numFmtId="0" fontId="3" fillId="20" borderId="7" xfId="0" applyFont="1" applyFill="1" applyBorder="1" applyAlignment="1">
      <alignment vertical="center"/>
    </xf>
    <xf numFmtId="0" fontId="16" fillId="21" borderId="8" xfId="0" applyFont="1" applyFill="1" applyBorder="1" applyAlignment="1">
      <alignment horizontal="center" vertical="center"/>
    </xf>
    <xf numFmtId="0" fontId="16" fillId="21" borderId="9" xfId="0" applyFont="1" applyFill="1" applyBorder="1" applyAlignment="1">
      <alignment horizontal="center" vertical="center"/>
    </xf>
    <xf numFmtId="0" fontId="16" fillId="21" borderId="10" xfId="0" applyFont="1" applyFill="1" applyBorder="1" applyAlignment="1">
      <alignment horizontal="center" vertical="center"/>
    </xf>
    <xf numFmtId="0" fontId="18" fillId="19" borderId="3" xfId="0" applyFont="1" applyFill="1" applyBorder="1" applyAlignment="1">
      <alignment vertical="top" wrapText="1"/>
    </xf>
    <xf numFmtId="0" fontId="18" fillId="19" borderId="3" xfId="0" applyFont="1" applyFill="1" applyBorder="1" applyAlignment="1">
      <alignment vertical="center"/>
    </xf>
    <xf numFmtId="166" fontId="18" fillId="19" borderId="3" xfId="0" applyNumberFormat="1" applyFont="1" applyFill="1" applyBorder="1" applyAlignment="1">
      <alignment horizontal="right" vertical="center"/>
    </xf>
    <xf numFmtId="0" fontId="18" fillId="22" borderId="0" xfId="0" applyFont="1" applyFill="1" applyAlignment="1">
      <alignment vertical="center"/>
    </xf>
    <xf numFmtId="0" fontId="21" fillId="23" borderId="2" xfId="0" applyFont="1" applyFill="1" applyBorder="1" applyAlignment="1">
      <alignment vertical="center" wrapText="1"/>
    </xf>
    <xf numFmtId="166" fontId="20" fillId="23" borderId="2" xfId="0" applyNumberFormat="1" applyFont="1" applyFill="1" applyBorder="1" applyAlignment="1">
      <alignment horizontal="right" vertical="center" wrapText="1"/>
    </xf>
    <xf numFmtId="166" fontId="22" fillId="22" borderId="2" xfId="0" applyNumberFormat="1" applyFont="1" applyFill="1" applyBorder="1" applyAlignment="1">
      <alignment horizontal="right" vertical="center" wrapText="1"/>
    </xf>
    <xf numFmtId="0" fontId="3" fillId="24" borderId="5" xfId="0" applyFont="1" applyFill="1" applyBorder="1" applyAlignment="1">
      <alignment vertical="center"/>
    </xf>
    <xf numFmtId="0" fontId="3" fillId="24" borderId="6" xfId="0" applyFont="1" applyFill="1" applyBorder="1" applyAlignment="1">
      <alignment vertical="center"/>
    </xf>
    <xf numFmtId="0" fontId="3" fillId="24" borderId="7" xfId="0" applyFont="1" applyFill="1" applyBorder="1" applyAlignment="1">
      <alignment vertical="center"/>
    </xf>
    <xf numFmtId="0" fontId="16" fillId="25" borderId="8" xfId="0" applyFont="1" applyFill="1" applyBorder="1" applyAlignment="1">
      <alignment horizontal="center" vertical="center" wrapText="1"/>
    </xf>
    <xf numFmtId="0" fontId="16" fillId="25" borderId="9" xfId="0" applyFont="1" applyFill="1" applyBorder="1" applyAlignment="1">
      <alignment horizontal="center" vertical="center" wrapText="1"/>
    </xf>
    <xf numFmtId="0" fontId="16" fillId="25" borderId="10" xfId="0" applyFont="1" applyFill="1" applyBorder="1" applyAlignment="1">
      <alignment horizontal="center" vertical="center" wrapText="1"/>
    </xf>
    <xf numFmtId="0" fontId="18" fillId="22" borderId="3" xfId="0" applyFont="1" applyFill="1" applyBorder="1" applyAlignment="1">
      <alignment vertical="top" wrapText="1"/>
    </xf>
    <xf numFmtId="0" fontId="23" fillId="0" borderId="2" xfId="0" applyFont="1" applyBorder="1" applyAlignment="1">
      <alignment vertical="center" wrapText="1"/>
    </xf>
    <xf numFmtId="166" fontId="17" fillId="0" borderId="2" xfId="0" applyNumberFormat="1" applyFont="1" applyBorder="1" applyAlignment="1">
      <alignment horizontal="right" vertical="center" wrapText="1"/>
    </xf>
    <xf numFmtId="166" fontId="18" fillId="22" borderId="2" xfId="0" applyNumberFormat="1" applyFont="1" applyFill="1" applyBorder="1" applyAlignment="1">
      <alignment horizontal="right" vertical="center" wrapText="1"/>
    </xf>
    <xf numFmtId="0" fontId="18" fillId="22" borderId="3" xfId="0" applyFont="1" applyFill="1" applyBorder="1" applyAlignment="1">
      <alignment vertical="center"/>
    </xf>
    <xf numFmtId="166" fontId="18" fillId="22" borderId="3" xfId="0" applyNumberFormat="1" applyFont="1" applyFill="1" applyBorder="1" applyAlignment="1">
      <alignment horizontal="right" vertical="center"/>
    </xf>
    <xf numFmtId="166" fontId="17" fillId="0" borderId="2" xfId="0" applyNumberFormat="1" applyFont="1" applyBorder="1"/>
    <xf numFmtId="166" fontId="17" fillId="0" borderId="3" xfId="0" applyNumberFormat="1" applyFont="1" applyBorder="1"/>
    <xf numFmtId="166" fontId="17" fillId="22" borderId="3" xfId="0" applyNumberFormat="1" applyFont="1" applyFill="1" applyBorder="1"/>
    <xf numFmtId="0" fontId="23" fillId="0" borderId="3" xfId="0" applyFont="1" applyBorder="1" applyAlignment="1">
      <alignment vertical="center" wrapText="1"/>
    </xf>
    <xf numFmtId="164" fontId="17" fillId="0" borderId="2" xfId="0" applyNumberFormat="1" applyFont="1" applyBorder="1" applyAlignment="1">
      <alignment horizontal="right" vertical="center" wrapText="1"/>
    </xf>
    <xf numFmtId="164" fontId="17" fillId="0" borderId="3" xfId="0" applyNumberFormat="1" applyFont="1" applyBorder="1" applyAlignment="1">
      <alignment horizontal="right" vertical="center" wrapText="1"/>
    </xf>
    <xf numFmtId="0" fontId="24" fillId="26" borderId="6" xfId="0" applyFont="1" applyFill="1" applyBorder="1" applyAlignment="1">
      <alignment vertical="center" wrapText="1"/>
    </xf>
    <xf numFmtId="164" fontId="24" fillId="26" borderId="6" xfId="0" applyNumberFormat="1" applyFont="1" applyFill="1" applyBorder="1" applyAlignment="1">
      <alignment horizontal="right" vertical="center" wrapText="1"/>
    </xf>
    <xf numFmtId="0" fontId="24" fillId="25" borderId="6" xfId="0" applyFont="1" applyFill="1" applyBorder="1" applyAlignment="1">
      <alignment vertical="center" wrapText="1"/>
    </xf>
    <xf numFmtId="167" fontId="24" fillId="25" borderId="6" xfId="0" applyNumberFormat="1" applyFont="1" applyFill="1" applyBorder="1" applyAlignment="1">
      <alignment horizontal="right" vertical="center" wrapText="1"/>
    </xf>
    <xf numFmtId="164" fontId="17" fillId="22" borderId="2" xfId="0" applyNumberFormat="1" applyFont="1" applyFill="1" applyBorder="1" applyAlignment="1">
      <alignment horizontal="right" vertical="center" wrapText="1"/>
    </xf>
    <xf numFmtId="164" fontId="17" fillId="22" borderId="3" xfId="0" applyNumberFormat="1" applyFont="1" applyFill="1" applyBorder="1" applyAlignment="1">
      <alignment horizontal="right" vertical="center" wrapText="1"/>
    </xf>
    <xf numFmtId="164" fontId="24" fillId="22" borderId="6" xfId="0" applyNumberFormat="1" applyFont="1" applyFill="1" applyBorder="1" applyAlignment="1">
      <alignment horizontal="right" vertical="center" wrapText="1"/>
    </xf>
    <xf numFmtId="167" fontId="24" fillId="22" borderId="6" xfId="0" applyNumberFormat="1" applyFont="1" applyFill="1" applyBorder="1" applyAlignment="1">
      <alignment horizontal="right" vertical="center" wrapText="1"/>
    </xf>
    <xf numFmtId="164" fontId="18" fillId="22" borderId="2" xfId="0" applyNumberFormat="1" applyFont="1" applyFill="1" applyBorder="1" applyAlignment="1">
      <alignment horizontal="right" vertical="center" wrapText="1"/>
    </xf>
    <xf numFmtId="167" fontId="17" fillId="0" borderId="2" xfId="0" applyNumberFormat="1" applyFont="1" applyBorder="1" applyAlignment="1">
      <alignment horizontal="right" vertical="center" wrapText="1"/>
    </xf>
    <xf numFmtId="167" fontId="18" fillId="22" borderId="2" xfId="0" applyNumberFormat="1" applyFont="1" applyFill="1" applyBorder="1" applyAlignment="1">
      <alignment horizontal="right" vertical="center" wrapText="1"/>
    </xf>
    <xf numFmtId="164" fontId="17" fillId="0" borderId="2" xfId="0" applyNumberFormat="1" applyFont="1" applyBorder="1"/>
    <xf numFmtId="167" fontId="17" fillId="0" borderId="2" xfId="0" applyNumberFormat="1" applyFont="1" applyBorder="1"/>
    <xf numFmtId="164" fontId="17" fillId="0" borderId="3" xfId="0" applyNumberFormat="1" applyFont="1" applyBorder="1"/>
    <xf numFmtId="167" fontId="17" fillId="0" borderId="3" xfId="0" applyNumberFormat="1" applyFont="1" applyBorder="1"/>
    <xf numFmtId="0" fontId="17" fillId="22" borderId="3" xfId="0" applyFont="1" applyFill="1" applyBorder="1"/>
    <xf numFmtId="164" fontId="17" fillId="22" borderId="3" xfId="0" applyNumberFormat="1" applyFont="1" applyFill="1" applyBorder="1"/>
    <xf numFmtId="167" fontId="17" fillId="22" borderId="3" xfId="0" applyNumberFormat="1" applyFont="1" applyFill="1" applyBorder="1"/>
    <xf numFmtId="164" fontId="19" fillId="0" borderId="2" xfId="0" applyNumberFormat="1" applyFont="1" applyBorder="1" applyAlignment="1">
      <alignment horizontal="right" vertical="center" wrapText="1"/>
    </xf>
    <xf numFmtId="164" fontId="19" fillId="0" borderId="3" xfId="0" applyNumberFormat="1" applyFont="1" applyBorder="1" applyAlignment="1">
      <alignment horizontal="right" vertical="center" wrapText="1"/>
    </xf>
    <xf numFmtId="164" fontId="19" fillId="22" borderId="2" xfId="0" applyNumberFormat="1" applyFont="1" applyFill="1" applyBorder="1" applyAlignment="1">
      <alignment horizontal="right" vertical="center" wrapText="1"/>
    </xf>
    <xf numFmtId="164" fontId="19" fillId="22" borderId="3" xfId="0" applyNumberFormat="1" applyFont="1" applyFill="1" applyBorder="1" applyAlignment="1">
      <alignment horizontal="right" vertical="center" wrapText="1"/>
    </xf>
    <xf numFmtId="167" fontId="20" fillId="23" borderId="2" xfId="0" applyNumberFormat="1" applyFont="1" applyFill="1" applyBorder="1" applyAlignment="1">
      <alignment horizontal="right" vertical="center" wrapText="1"/>
    </xf>
    <xf numFmtId="167" fontId="22" fillId="22" borderId="2" xfId="0" applyNumberFormat="1" applyFont="1" applyFill="1" applyBorder="1" applyAlignment="1">
      <alignment horizontal="right" vertical="center" wrapText="1"/>
    </xf>
    <xf numFmtId="0" fontId="24" fillId="0" borderId="2" xfId="0" applyFont="1" applyBorder="1" applyAlignment="1">
      <alignment vertical="top" wrapText="1"/>
    </xf>
    <xf numFmtId="0" fontId="25" fillId="26" borderId="2" xfId="0" applyFont="1" applyFill="1" applyBorder="1" applyAlignment="1">
      <alignment horizontal="center" vertical="center" wrapText="1"/>
    </xf>
    <xf numFmtId="0" fontId="1" fillId="2" borderId="0" xfId="0" applyFont="1" applyFill="1" applyAlignment="1">
      <alignment horizontal="left" vertical="top"/>
    </xf>
    <xf numFmtId="0" fontId="2" fillId="3" borderId="0" xfId="0" applyFont="1" applyFill="1" applyAlignment="1">
      <alignment vertical="top" wrapText="1"/>
    </xf>
    <xf numFmtId="0" fontId="3" fillId="2" borderId="0" xfId="0" applyFont="1" applyFill="1" applyAlignment="1">
      <alignment vertical="top"/>
    </xf>
    <xf numFmtId="0" fontId="4" fillId="4" borderId="0" xfId="0" applyFont="1" applyFill="1" applyAlignment="1">
      <alignment vertical="top" wrapText="1"/>
    </xf>
    <xf numFmtId="0" fontId="3" fillId="2" borderId="0" xfId="0" applyFont="1" applyFill="1" applyAlignment="1">
      <alignment horizontal="center" vertical="top"/>
    </xf>
    <xf numFmtId="0" fontId="3" fillId="2" borderId="0" xfId="0" applyFont="1" applyFill="1" applyAlignment="1">
      <alignment horizontal="left" vertical="top" wrapText="1"/>
    </xf>
    <xf numFmtId="0" fontId="1" fillId="24" borderId="0" xfId="0" applyFont="1" applyFill="1" applyAlignment="1">
      <alignment vertical="center"/>
    </xf>
    <xf numFmtId="0" fontId="2" fillId="0" borderId="0" xfId="0" applyFont="1" applyAlignment="1">
      <alignment vertical="center"/>
    </xf>
    <xf numFmtId="0" fontId="16" fillId="25" borderId="9" xfId="0" applyFont="1" applyFill="1" applyBorder="1" applyAlignment="1">
      <alignment horizontal="center" vertical="center" wrapText="1"/>
    </xf>
    <xf numFmtId="0" fontId="16" fillId="25" borderId="10" xfId="0" applyFont="1" applyFill="1" applyBorder="1" applyAlignment="1">
      <alignment horizontal="center" vertical="center" wrapText="1"/>
    </xf>
    <xf numFmtId="0" fontId="17" fillId="0" borderId="2" xfId="0" applyFont="1" applyBorder="1" applyAlignment="1">
      <alignment vertical="top" wrapText="1"/>
    </xf>
    <xf numFmtId="0" fontId="16" fillId="25" borderId="8" xfId="0" applyFont="1" applyFill="1" applyBorder="1" applyAlignment="1">
      <alignment horizontal="center" vertical="center" wrapText="1"/>
    </xf>
    <xf numFmtId="0" fontId="24" fillId="0" borderId="2" xfId="0" applyFont="1" applyBorder="1" applyAlignment="1">
      <alignment vertical="top" wrapText="1"/>
    </xf>
    <xf numFmtId="0" fontId="24" fillId="22" borderId="2" xfId="0" applyFont="1" applyFill="1" applyBorder="1" applyAlignment="1">
      <alignment vertical="top" wrapText="1"/>
    </xf>
    <xf numFmtId="0" fontId="17" fillId="22" borderId="2" xfId="0" applyFont="1" applyFill="1" applyBorder="1" applyAlignment="1">
      <alignment vertical="top" wrapText="1"/>
    </xf>
    <xf numFmtId="0" fontId="26" fillId="26" borderId="0" xfId="0" applyFont="1" applyFill="1" applyAlignment="1">
      <alignment vertical="center" wrapText="1"/>
    </xf>
    <xf numFmtId="0" fontId="25" fillId="26" borderId="11" xfId="0" applyFont="1" applyFill="1" applyBorder="1" applyAlignment="1">
      <alignment vertical="center" wrapText="1"/>
    </xf>
    <xf numFmtId="0" fontId="25" fillId="26" borderId="12" xfId="0" applyFont="1" applyFill="1" applyBorder="1" applyAlignment="1">
      <alignment vertical="center" wrapText="1"/>
    </xf>
    <xf numFmtId="0" fontId="25" fillId="26" borderId="13" xfId="0" applyFont="1" applyFill="1" applyBorder="1" applyAlignment="1">
      <alignment vertical="center" wrapText="1"/>
    </xf>
    <xf numFmtId="0" fontId="25" fillId="26" borderId="14" xfId="0" applyFont="1" applyFill="1" applyBorder="1" applyAlignment="1">
      <alignment vertical="center" wrapText="1"/>
    </xf>
    <xf numFmtId="0" fontId="25" fillId="26" borderId="15" xfId="0" applyFont="1" applyFill="1" applyBorder="1" applyAlignment="1">
      <alignment vertical="center" wrapText="1"/>
    </xf>
    <xf numFmtId="0" fontId="25" fillId="26" borderId="16" xfId="0" applyFont="1" applyFill="1" applyBorder="1" applyAlignment="1">
      <alignment vertical="center" wrapText="1"/>
    </xf>
  </cellXfs>
  <cellStyles count="1">
    <cellStyle name="Normal" xfId="0" builtinId="0"/>
  </cellStyles>
  <dxfs count="12">
    <dxf>
      <font>
        <i/>
        <color rgb="FF7F7F7F"/>
      </font>
      <fill>
        <patternFill patternType="solid">
          <bgColor rgb="FFF2F2F2"/>
        </patternFill>
      </fill>
    </dxf>
    <dxf>
      <font>
        <i/>
        <color rgb="FF7F7F7F"/>
      </font>
      <fill>
        <patternFill patternType="solid">
          <bgColor rgb="FFF2F2F2"/>
        </patternFill>
      </fill>
    </dxf>
    <dxf>
      <font>
        <i/>
        <color rgb="FF7F7F7F"/>
      </font>
      <fill>
        <patternFill patternType="solid">
          <bgColor rgb="FFF2F2F2"/>
        </patternFill>
      </fill>
    </dxf>
    <dxf>
      <font>
        <i/>
        <color rgb="FF7F7F7F"/>
      </font>
      <fill>
        <patternFill patternType="solid">
          <bgColor rgb="FFF2F2F2"/>
        </patternFill>
      </fill>
    </dxf>
    <dxf>
      <font>
        <i/>
        <color rgb="FF7F7F7F"/>
      </font>
      <fill>
        <patternFill patternType="solid">
          <bgColor rgb="FFF2F2F2"/>
        </patternFill>
      </fill>
    </dxf>
    <dxf>
      <font>
        <i/>
        <color rgb="FF7F7F7F"/>
      </font>
      <fill>
        <patternFill patternType="solid">
          <bgColor rgb="FFF2F2F2"/>
        </patternFill>
      </fill>
    </dxf>
    <dxf>
      <font>
        <i/>
        <color rgb="FF7F7F7F"/>
      </font>
      <fill>
        <patternFill>
          <bgColor rgb="FFF2F2F2"/>
        </patternFill>
      </fill>
    </dxf>
    <dxf>
      <font>
        <i/>
        <color rgb="FF7F7F7F"/>
      </font>
      <fill>
        <patternFill>
          <bgColor rgb="FFF2F2F2"/>
        </patternFill>
      </fill>
    </dxf>
    <dxf>
      <font>
        <i/>
        <color rgb="FF7F7F7F"/>
      </font>
      <fill>
        <patternFill>
          <bgColor rgb="FFF2F2F2"/>
        </patternFill>
      </fill>
    </dxf>
    <dxf>
      <font>
        <color rgb="FF666666"/>
      </font>
      <fill>
        <patternFill>
          <bgColor rgb="FFF2F2F2"/>
        </patternFill>
      </fill>
    </dxf>
    <dxf>
      <font>
        <color rgb="FF666666"/>
      </font>
      <fill>
        <patternFill>
          <bgColor rgb="FFF2F2F2"/>
        </patternFill>
      </fill>
    </dxf>
    <dxf>
      <font>
        <color rgb="FF666666"/>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Days Sales Outstanding</a:t>
            </a:r>
          </a:p>
        </c:rich>
      </c:tx>
      <c:overlay val="0"/>
    </c:title>
    <c:autoTitleDeleted val="0"/>
    <c:plotArea>
      <c:layout/>
      <c:lineChart>
        <c:grouping val="standard"/>
        <c:varyColors val="0"/>
        <c:ser>
          <c:idx val="0"/>
          <c:order val="0"/>
          <c:tx>
            <c:v>Series 1</c:v>
          </c:tx>
          <c:spPr>
            <a:ln w="19050">
              <a:solidFill>
                <a:srgbClr val="4472C4"/>
              </a:solidFill>
              <a:prstDash val="solid"/>
            </a:ln>
          </c:spPr>
          <c:marker>
            <c:symbol val="none"/>
          </c:marker>
          <c:cat>
            <c:strRef>
              <c:f>Model!$M$32:$M$37</c:f>
              <c:strCache>
                <c:ptCount val="6"/>
                <c:pt idx="0">
                  <c:v>Fiscal Year</c:v>
                </c:pt>
                <c:pt idx="1">
                  <c:v>FY2019</c:v>
                </c:pt>
                <c:pt idx="2">
                  <c:v>FY2020</c:v>
                </c:pt>
                <c:pt idx="3">
                  <c:v>FY2021</c:v>
                </c:pt>
                <c:pt idx="4">
                  <c:v>FY2022</c:v>
                </c:pt>
                <c:pt idx="5">
                  <c:v>FY2023</c:v>
                </c:pt>
              </c:strCache>
            </c:strRef>
          </c:cat>
          <c:val>
            <c:numRef>
              <c:f>Model!$N$32:$N$37</c:f>
              <c:numCache>
                <c:formatCode>0.0\ "days"</c:formatCode>
                <c:ptCount val="6"/>
                <c:pt idx="0" formatCode="General">
                  <c:v>0</c:v>
                </c:pt>
                <c:pt idx="1">
                  <c:v>79.897168176572521</c:v>
                </c:pt>
                <c:pt idx="2">
                  <c:v>80.313969330535159</c:v>
                </c:pt>
                <c:pt idx="3">
                  <c:v>78.573363399749056</c:v>
                </c:pt>
                <c:pt idx="4">
                  <c:v>87.338167465192356</c:v>
                </c:pt>
                <c:pt idx="5">
                  <c:v>98.239314491708669</c:v>
                </c:pt>
              </c:numCache>
            </c:numRef>
          </c:val>
          <c:smooth val="0"/>
          <c:extLst>
            <c:ext xmlns:c16="http://schemas.microsoft.com/office/drawing/2014/chart" uri="{C3380CC4-5D6E-409C-BE32-E72D297353CC}">
              <c16:uniqueId val="{00000000-9993-4B7E-8F5B-00E31E5045E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Days</a:t>
                </a:r>
              </a:p>
            </c:rich>
          </c:tx>
          <c:overlay val="0"/>
        </c:title>
        <c:numFmt formatCode="0.0\ &quot;days&quot;"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Contract Asset Days</a:t>
            </a:r>
          </a:p>
        </c:rich>
      </c:tx>
      <c:overlay val="0"/>
    </c:title>
    <c:autoTitleDeleted val="0"/>
    <c:plotArea>
      <c:layout/>
      <c:lineChart>
        <c:grouping val="standard"/>
        <c:varyColors val="0"/>
        <c:ser>
          <c:idx val="0"/>
          <c:order val="0"/>
          <c:tx>
            <c:v>Contract Asset Days</c:v>
          </c:tx>
          <c:spPr>
            <a:ln w="19050">
              <a:solidFill>
                <a:srgbClr val="4472C4"/>
              </a:solidFill>
              <a:prstDash val="solid"/>
            </a:ln>
          </c:spPr>
          <c:marker>
            <c:symbol val="none"/>
          </c:marker>
          <c:cat>
            <c:strRef>
              <c:f>Model!$M$50:$M$56</c:f>
              <c:strCache>
                <c:ptCount val="7"/>
                <c:pt idx="0">
                  <c:v>FY2018</c:v>
                </c:pt>
                <c:pt idx="1">
                  <c:v>FY2019</c:v>
                </c:pt>
                <c:pt idx="2">
                  <c:v>FY2020</c:v>
                </c:pt>
                <c:pt idx="3">
                  <c:v>FY2021</c:v>
                </c:pt>
                <c:pt idx="4">
                  <c:v>FY2022</c:v>
                </c:pt>
                <c:pt idx="5">
                  <c:v>FY2023</c:v>
                </c:pt>
                <c:pt idx="6">
                  <c:v>FY2024</c:v>
                </c:pt>
              </c:strCache>
            </c:strRef>
          </c:cat>
          <c:val>
            <c:numRef>
              <c:f>Model!$N$50:$N$56</c:f>
              <c:numCache>
                <c:formatCode>0.0\ "days"</c:formatCode>
                <c:ptCount val="7"/>
                <c:pt idx="0">
                  <c:v>13.822890981570282</c:v>
                </c:pt>
                <c:pt idx="1">
                  <c:v>12.62045682739782</c:v>
                </c:pt>
                <c:pt idx="2">
                  <c:v>13.8783425584972</c:v>
                </c:pt>
                <c:pt idx="3">
                  <c:v>14.801709976778142</c:v>
                </c:pt>
                <c:pt idx="4">
                  <c:v>11.947374807388268</c:v>
                </c:pt>
                <c:pt idx="5">
                  <c:v>11.439024066335318</c:v>
                </c:pt>
                <c:pt idx="6">
                  <c:v>13.683680803393868</c:v>
                </c:pt>
              </c:numCache>
            </c:numRef>
          </c:val>
          <c:smooth val="0"/>
          <c:extLst>
            <c:ext xmlns:c16="http://schemas.microsoft.com/office/drawing/2014/chart" uri="{C3380CC4-5D6E-409C-BE32-E72D297353CC}">
              <c16:uniqueId val="{00000000-A146-4366-9B26-E4EBE7A229F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Days</a:t>
                </a:r>
              </a:p>
            </c:rich>
          </c:tx>
          <c:overlay val="0"/>
        </c:title>
        <c:numFmt formatCode="0.0\ &quot;days&quot;"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Days Inventory Outstanding</a:t>
            </a:r>
          </a:p>
        </c:rich>
      </c:tx>
      <c:overlay val="0"/>
    </c:title>
    <c:autoTitleDeleted val="0"/>
    <c:plotArea>
      <c:layout/>
      <c:lineChart>
        <c:grouping val="standard"/>
        <c:varyColors val="0"/>
        <c:ser>
          <c:idx val="0"/>
          <c:order val="0"/>
          <c:tx>
            <c:v>DIO</c:v>
          </c:tx>
          <c:spPr>
            <a:ln w="19050">
              <a:solidFill>
                <a:srgbClr val="4472C4"/>
              </a:solidFill>
              <a:prstDash val="solid"/>
            </a:ln>
          </c:spPr>
          <c:marker>
            <c:symbol val="none"/>
          </c:marker>
          <c:cat>
            <c:strRef>
              <c:f>Model!$M$67:$M$73</c:f>
              <c:strCache>
                <c:ptCount val="7"/>
                <c:pt idx="0">
                  <c:v>FY2019</c:v>
                </c:pt>
                <c:pt idx="1">
                  <c:v>FY2020</c:v>
                </c:pt>
                <c:pt idx="2">
                  <c:v>FY2021</c:v>
                </c:pt>
                <c:pt idx="3">
                  <c:v>FY2022</c:v>
                </c:pt>
                <c:pt idx="4">
                  <c:v>FY2023</c:v>
                </c:pt>
                <c:pt idx="5">
                  <c:v>FY2024</c:v>
                </c:pt>
                <c:pt idx="6">
                  <c:v>FY2025</c:v>
                </c:pt>
              </c:strCache>
            </c:strRef>
          </c:cat>
          <c:val>
            <c:numRef>
              <c:f>Model!$N$67:$N$73</c:f>
              <c:numCache>
                <c:formatCode>0.0\ "days"</c:formatCode>
                <c:ptCount val="7"/>
                <c:pt idx="0">
                  <c:v>3.1254599230368401</c:v>
                </c:pt>
                <c:pt idx="1">
                  <c:v>2.9681667486504395</c:v>
                </c:pt>
                <c:pt idx="2">
                  <c:v>3.8822149214458737</c:v>
                </c:pt>
                <c:pt idx="3">
                  <c:v>7.2241046158255537</c:v>
                </c:pt>
                <c:pt idx="4">
                  <c:v>7.3326270378364029</c:v>
                </c:pt>
                <c:pt idx="5">
                  <c:v>5.8345731385093629</c:v>
                </c:pt>
                <c:pt idx="6">
                  <c:v>6.4767758787121688</c:v>
                </c:pt>
              </c:numCache>
            </c:numRef>
          </c:val>
          <c:smooth val="0"/>
          <c:extLst>
            <c:ext xmlns:c16="http://schemas.microsoft.com/office/drawing/2014/chart" uri="{C3380CC4-5D6E-409C-BE32-E72D297353CC}">
              <c16:uniqueId val="{00000000-EF6A-456F-BB99-AF41257D7D9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Days</a:t>
                </a:r>
              </a:p>
            </c:rich>
          </c:tx>
          <c:overlay val="0"/>
        </c:title>
        <c:numFmt formatCode="0.0\ &quot;days&quot;"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Traditional vs Adjusted Cash Conversion Cycle</a:t>
            </a:r>
          </a:p>
        </c:rich>
      </c:tx>
      <c:overlay val="0"/>
    </c:title>
    <c:autoTitleDeleted val="0"/>
    <c:plotArea>
      <c:layout/>
      <c:lineChart>
        <c:grouping val="standard"/>
        <c:varyColors val="0"/>
        <c:ser>
          <c:idx val="0"/>
          <c:order val="0"/>
          <c:tx>
            <c:v>Traditional CCC</c:v>
          </c:tx>
          <c:spPr>
            <a:ln w="19050">
              <a:solidFill>
                <a:srgbClr val="7F7F7F"/>
              </a:solidFill>
              <a:prstDash val="solid"/>
            </a:ln>
          </c:spPr>
          <c:marker>
            <c:symbol val="none"/>
          </c:marker>
          <c:cat>
            <c:strRef>
              <c:f>Summary!$A$22:$A$26</c:f>
              <c:strCache>
                <c:ptCount val="5"/>
                <c:pt idx="0">
                  <c:v>FY2019</c:v>
                </c:pt>
                <c:pt idx="1">
                  <c:v>FY2020</c:v>
                </c:pt>
                <c:pt idx="2">
                  <c:v>FY2021</c:v>
                </c:pt>
                <c:pt idx="3">
                  <c:v>FY2022</c:v>
                </c:pt>
                <c:pt idx="4">
                  <c:v>FY2023</c:v>
                </c:pt>
              </c:strCache>
            </c:strRef>
          </c:cat>
          <c:val>
            <c:numRef>
              <c:f>Summary!$G$22:$G$26</c:f>
              <c:numCache>
                <c:formatCode>0.0\ "days"</c:formatCode>
                <c:ptCount val="5"/>
                <c:pt idx="0">
                  <c:v>52.535258685295346</c:v>
                </c:pt>
                <c:pt idx="1">
                  <c:v>52.52551716302068</c:v>
                </c:pt>
                <c:pt idx="2">
                  <c:v>51.45652266589488</c:v>
                </c:pt>
                <c:pt idx="3">
                  <c:v>54.475420633870222</c:v>
                </c:pt>
                <c:pt idx="4">
                  <c:v>56.140794150303797</c:v>
                </c:pt>
              </c:numCache>
            </c:numRef>
          </c:val>
          <c:smooth val="0"/>
          <c:extLst>
            <c:ext xmlns:c16="http://schemas.microsoft.com/office/drawing/2014/chart" uri="{C3380CC4-5D6E-409C-BE32-E72D297353CC}">
              <c16:uniqueId val="{00000000-014D-462C-BF53-64A051326E46}"/>
            </c:ext>
          </c:extLst>
        </c:ser>
        <c:ser>
          <c:idx val="1"/>
          <c:order val="1"/>
          <c:tx>
            <c:v>Adjusted CCC</c:v>
          </c:tx>
          <c:spPr>
            <a:ln w="19050">
              <a:solidFill>
                <a:srgbClr val="4472C4"/>
              </a:solidFill>
              <a:prstDash val="solid"/>
            </a:ln>
          </c:spPr>
          <c:marker>
            <c:symbol val="none"/>
          </c:marker>
          <c:cat>
            <c:strRef>
              <c:f>Summary!$A$22:$A$26</c:f>
              <c:strCache>
                <c:ptCount val="5"/>
                <c:pt idx="0">
                  <c:v>FY2019</c:v>
                </c:pt>
                <c:pt idx="1">
                  <c:v>FY2020</c:v>
                </c:pt>
                <c:pt idx="2">
                  <c:v>FY2021</c:v>
                </c:pt>
                <c:pt idx="3">
                  <c:v>FY2022</c:v>
                </c:pt>
                <c:pt idx="4">
                  <c:v>FY2023</c:v>
                </c:pt>
              </c:strCache>
            </c:strRef>
          </c:cat>
          <c:val>
            <c:numRef>
              <c:f>Summary!$H$22:$H$26</c:f>
              <c:numCache>
                <c:formatCode>0.0\ "days"</c:formatCode>
                <c:ptCount val="5"/>
                <c:pt idx="0">
                  <c:v>26.872232747500874</c:v>
                </c:pt>
                <c:pt idx="1">
                  <c:v>24.926880365355821</c:v>
                </c:pt>
                <c:pt idx="2">
                  <c:v>26.633248415197563</c:v>
                </c:pt>
                <c:pt idx="3">
                  <c:v>28.477847298153073</c:v>
                </c:pt>
                <c:pt idx="4">
                  <c:v>27.936533227239288</c:v>
                </c:pt>
              </c:numCache>
            </c:numRef>
          </c:val>
          <c:smooth val="0"/>
          <c:extLst>
            <c:ext xmlns:c16="http://schemas.microsoft.com/office/drawing/2014/chart" uri="{C3380CC4-5D6E-409C-BE32-E72D297353CC}">
              <c16:uniqueId val="{00000001-014D-462C-BF53-64A051326E4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Days</a:t>
                </a:r>
              </a:p>
            </c:rich>
          </c:tx>
          <c:overlay val="0"/>
        </c:title>
        <c:numFmt formatCode="0.0\ &quot;days&quot;"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legend>
      <c:legendPos val="t"/>
      <c:overlay val="0"/>
      <c:txPr>
        <a:bodyPr anchorCtr="1"/>
        <a:lstStyle/>
        <a:p>
          <a:pPr>
            <a:defRPr sz="750">
              <a:latin typeface="Carlito"/>
              <a:ea typeface="Carlito"/>
              <a:cs typeface="Carlito"/>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Working Capital Days Components</a:t>
            </a:r>
          </a:p>
        </c:rich>
      </c:tx>
      <c:overlay val="0"/>
    </c:title>
    <c:autoTitleDeleted val="0"/>
    <c:plotArea>
      <c:layout/>
      <c:lineChart>
        <c:grouping val="standard"/>
        <c:varyColors val="0"/>
        <c:ser>
          <c:idx val="0"/>
          <c:order val="0"/>
          <c:tx>
            <c:v>DSO</c:v>
          </c:tx>
          <c:spPr>
            <a:ln w="19050">
              <a:solidFill>
                <a:srgbClr val="4472C4"/>
              </a:solidFill>
              <a:prstDash val="solid"/>
            </a:ln>
          </c:spPr>
          <c:marker>
            <c:symbol val="none"/>
          </c:marker>
          <c:cat>
            <c:strRef>
              <c:f>Summary!$S$22:$S$26</c:f>
              <c:strCache>
                <c:ptCount val="5"/>
                <c:pt idx="0">
                  <c:v>FY2019</c:v>
                </c:pt>
                <c:pt idx="1">
                  <c:v>FY2020</c:v>
                </c:pt>
                <c:pt idx="2">
                  <c:v>FY2021</c:v>
                </c:pt>
                <c:pt idx="3">
                  <c:v>FY2022</c:v>
                </c:pt>
                <c:pt idx="4">
                  <c:v>FY2023</c:v>
                </c:pt>
              </c:strCache>
            </c:strRef>
          </c:cat>
          <c:val>
            <c:numRef>
              <c:f>Summary!$T$22:$T$26</c:f>
              <c:numCache>
                <c:formatCode>0.0\ "days"</c:formatCode>
                <c:ptCount val="5"/>
                <c:pt idx="0">
                  <c:v>79.897168176572521</c:v>
                </c:pt>
                <c:pt idx="1">
                  <c:v>80.313969330535159</c:v>
                </c:pt>
                <c:pt idx="2">
                  <c:v>78.573363399749056</c:v>
                </c:pt>
                <c:pt idx="3">
                  <c:v>87.338167465192356</c:v>
                </c:pt>
                <c:pt idx="4">
                  <c:v>98.239314491708669</c:v>
                </c:pt>
              </c:numCache>
            </c:numRef>
          </c:val>
          <c:smooth val="0"/>
          <c:extLst>
            <c:ext xmlns:c16="http://schemas.microsoft.com/office/drawing/2014/chart" uri="{C3380CC4-5D6E-409C-BE32-E72D297353CC}">
              <c16:uniqueId val="{00000000-C60C-4813-AB86-F6C8D3130E93}"/>
            </c:ext>
          </c:extLst>
        </c:ser>
        <c:ser>
          <c:idx val="1"/>
          <c:order val="1"/>
          <c:tx>
            <c:v>Contract Asset Days</c:v>
          </c:tx>
          <c:spPr>
            <a:ln w="19050">
              <a:solidFill>
                <a:srgbClr val="2F75B5"/>
              </a:solidFill>
              <a:prstDash val="solid"/>
            </a:ln>
          </c:spPr>
          <c:marker>
            <c:symbol val="none"/>
          </c:marker>
          <c:cat>
            <c:strRef>
              <c:f>Summary!$S$22:$S$26</c:f>
              <c:strCache>
                <c:ptCount val="5"/>
                <c:pt idx="0">
                  <c:v>FY2019</c:v>
                </c:pt>
                <c:pt idx="1">
                  <c:v>FY2020</c:v>
                </c:pt>
                <c:pt idx="2">
                  <c:v>FY2021</c:v>
                </c:pt>
                <c:pt idx="3">
                  <c:v>FY2022</c:v>
                </c:pt>
                <c:pt idx="4">
                  <c:v>FY2023</c:v>
                </c:pt>
              </c:strCache>
            </c:strRef>
          </c:cat>
          <c:val>
            <c:numRef>
              <c:f>Summary!$U$22:$U$26</c:f>
              <c:numCache>
                <c:formatCode>0.0\ "days"</c:formatCode>
                <c:ptCount val="5"/>
                <c:pt idx="0">
                  <c:v>12.62045682739782</c:v>
                </c:pt>
                <c:pt idx="1">
                  <c:v>13.8783425584972</c:v>
                </c:pt>
                <c:pt idx="2">
                  <c:v>14.801709976778142</c:v>
                </c:pt>
                <c:pt idx="3">
                  <c:v>11.947374807388268</c:v>
                </c:pt>
                <c:pt idx="4">
                  <c:v>11.439024066335318</c:v>
                </c:pt>
              </c:numCache>
            </c:numRef>
          </c:val>
          <c:smooth val="0"/>
          <c:extLst>
            <c:ext xmlns:c16="http://schemas.microsoft.com/office/drawing/2014/chart" uri="{C3380CC4-5D6E-409C-BE32-E72D297353CC}">
              <c16:uniqueId val="{00000001-C60C-4813-AB86-F6C8D3130E93}"/>
            </c:ext>
          </c:extLst>
        </c:ser>
        <c:ser>
          <c:idx val="2"/>
          <c:order val="2"/>
          <c:tx>
            <c:v>DIO</c:v>
          </c:tx>
          <c:spPr>
            <a:ln w="19050">
              <a:solidFill>
                <a:srgbClr val="548235"/>
              </a:solidFill>
              <a:prstDash val="solid"/>
            </a:ln>
          </c:spPr>
          <c:marker>
            <c:symbol val="none"/>
          </c:marker>
          <c:cat>
            <c:strRef>
              <c:f>Summary!$S$22:$S$26</c:f>
              <c:strCache>
                <c:ptCount val="5"/>
                <c:pt idx="0">
                  <c:v>FY2019</c:v>
                </c:pt>
                <c:pt idx="1">
                  <c:v>FY2020</c:v>
                </c:pt>
                <c:pt idx="2">
                  <c:v>FY2021</c:v>
                </c:pt>
                <c:pt idx="3">
                  <c:v>FY2022</c:v>
                </c:pt>
                <c:pt idx="4">
                  <c:v>FY2023</c:v>
                </c:pt>
              </c:strCache>
            </c:strRef>
          </c:cat>
          <c:val>
            <c:numRef>
              <c:f>Summary!$V$22:$V$26</c:f>
              <c:numCache>
                <c:formatCode>0.0\ "days"</c:formatCode>
                <c:ptCount val="5"/>
                <c:pt idx="0">
                  <c:v>3.1254599230368401</c:v>
                </c:pt>
                <c:pt idx="1">
                  <c:v>2.9681667486504395</c:v>
                </c:pt>
                <c:pt idx="2">
                  <c:v>3.8822149214458737</c:v>
                </c:pt>
                <c:pt idx="3">
                  <c:v>7.2241046158255537</c:v>
                </c:pt>
                <c:pt idx="4">
                  <c:v>7.3326270378364029</c:v>
                </c:pt>
              </c:numCache>
            </c:numRef>
          </c:val>
          <c:smooth val="0"/>
          <c:extLst>
            <c:ext xmlns:c16="http://schemas.microsoft.com/office/drawing/2014/chart" uri="{C3380CC4-5D6E-409C-BE32-E72D297353CC}">
              <c16:uniqueId val="{00000002-C60C-4813-AB86-F6C8D3130E93}"/>
            </c:ext>
          </c:extLst>
        </c:ser>
        <c:ser>
          <c:idx val="3"/>
          <c:order val="3"/>
          <c:tx>
            <c:v>DPO (funding; negative)</c:v>
          </c:tx>
          <c:spPr>
            <a:ln w="19050">
              <a:solidFill>
                <a:srgbClr val="ED7D31"/>
              </a:solidFill>
              <a:prstDash val="solid"/>
            </a:ln>
          </c:spPr>
          <c:marker>
            <c:symbol val="none"/>
          </c:marker>
          <c:cat>
            <c:strRef>
              <c:f>Summary!$S$22:$S$26</c:f>
              <c:strCache>
                <c:ptCount val="5"/>
                <c:pt idx="0">
                  <c:v>FY2019</c:v>
                </c:pt>
                <c:pt idx="1">
                  <c:v>FY2020</c:v>
                </c:pt>
                <c:pt idx="2">
                  <c:v>FY2021</c:v>
                </c:pt>
                <c:pt idx="3">
                  <c:v>FY2022</c:v>
                </c:pt>
                <c:pt idx="4">
                  <c:v>FY2023</c:v>
                </c:pt>
              </c:strCache>
            </c:strRef>
          </c:cat>
          <c:val>
            <c:numRef>
              <c:f>Summary!$W$22:$W$26</c:f>
              <c:numCache>
                <c:formatCode>0.0\ "days"</c:formatCode>
                <c:ptCount val="5"/>
                <c:pt idx="0">
                  <c:v>-30.487369414314013</c:v>
                </c:pt>
                <c:pt idx="1">
                  <c:v>-30.756618916164914</c:v>
                </c:pt>
                <c:pt idx="2">
                  <c:v>-30.999055655300058</c:v>
                </c:pt>
                <c:pt idx="3">
                  <c:v>-40.086851447147687</c:v>
                </c:pt>
                <c:pt idx="4">
                  <c:v>-49.431147379241274</c:v>
                </c:pt>
              </c:numCache>
            </c:numRef>
          </c:val>
          <c:smooth val="0"/>
          <c:extLst>
            <c:ext xmlns:c16="http://schemas.microsoft.com/office/drawing/2014/chart" uri="{C3380CC4-5D6E-409C-BE32-E72D297353CC}">
              <c16:uniqueId val="{00000003-C60C-4813-AB86-F6C8D3130E93}"/>
            </c:ext>
          </c:extLst>
        </c:ser>
        <c:ser>
          <c:idx val="4"/>
          <c:order val="4"/>
          <c:tx>
            <c:v>Contract Liability Days (funding; negative)</c:v>
          </c:tx>
          <c:spPr>
            <a:ln w="19050">
              <a:solidFill>
                <a:srgbClr val="C00000"/>
              </a:solidFill>
              <a:prstDash val="solid"/>
            </a:ln>
          </c:spPr>
          <c:marker>
            <c:symbol val="none"/>
          </c:marker>
          <c:cat>
            <c:strRef>
              <c:f>Summary!$S$22:$S$26</c:f>
              <c:strCache>
                <c:ptCount val="5"/>
                <c:pt idx="0">
                  <c:v>FY2019</c:v>
                </c:pt>
                <c:pt idx="1">
                  <c:v>FY2020</c:v>
                </c:pt>
                <c:pt idx="2">
                  <c:v>FY2021</c:v>
                </c:pt>
                <c:pt idx="3">
                  <c:v>FY2022</c:v>
                </c:pt>
                <c:pt idx="4">
                  <c:v>FY2023</c:v>
                </c:pt>
              </c:strCache>
            </c:strRef>
          </c:cat>
          <c:val>
            <c:numRef>
              <c:f>Summary!$X$22:$X$26</c:f>
              <c:numCache>
                <c:formatCode>0.0\ "days"</c:formatCode>
                <c:ptCount val="5"/>
                <c:pt idx="0">
                  <c:v>-38.283482765192289</c:v>
                </c:pt>
                <c:pt idx="1">
                  <c:v>-41.476979356162055</c:v>
                </c:pt>
                <c:pt idx="2">
                  <c:v>-39.624984227475458</c:v>
                </c:pt>
                <c:pt idx="3">
                  <c:v>-37.944948143105428</c:v>
                </c:pt>
                <c:pt idx="4">
                  <c:v>-39.643284989399838</c:v>
                </c:pt>
              </c:numCache>
            </c:numRef>
          </c:val>
          <c:smooth val="0"/>
          <c:extLst>
            <c:ext xmlns:c16="http://schemas.microsoft.com/office/drawing/2014/chart" uri="{C3380CC4-5D6E-409C-BE32-E72D297353CC}">
              <c16:uniqueId val="{00000004-C60C-4813-AB86-F6C8D3130E9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Days: tie-up positive; funding negative</a:t>
                </a:r>
              </a:p>
            </c:rich>
          </c:tx>
          <c:overlay val="0"/>
        </c:title>
        <c:numFmt formatCode="0.0\ &quot;days&quot;"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legend>
      <c:legendPos val="t"/>
      <c:overlay val="0"/>
      <c:txPr>
        <a:bodyPr anchorCtr="1"/>
        <a:lstStyle/>
        <a:p>
          <a:pPr>
            <a:defRPr sz="750">
              <a:latin typeface="Carlito"/>
              <a:ea typeface="Carlito"/>
              <a:cs typeface="Carlito"/>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Operating Working Capital</a:t>
            </a:r>
          </a:p>
        </c:rich>
      </c:tx>
      <c:overlay val="0"/>
    </c:title>
    <c:autoTitleDeleted val="0"/>
    <c:plotArea>
      <c:layout/>
      <c:lineChart>
        <c:grouping val="standard"/>
        <c:varyColors val="0"/>
        <c:ser>
          <c:idx val="0"/>
          <c:order val="0"/>
          <c:tx>
            <c:v>Operating Working Capital</c:v>
          </c:tx>
          <c:spPr>
            <a:ln w="19050">
              <a:solidFill>
                <a:srgbClr val="4472C4"/>
              </a:solidFill>
              <a:prstDash val="solid"/>
            </a:ln>
          </c:spPr>
          <c:marker>
            <c:symbol val="none"/>
          </c:marker>
          <c:cat>
            <c:strRef>
              <c:f>Summary!$S$14:$S$19</c:f>
              <c:strCache>
                <c:ptCount val="6"/>
                <c:pt idx="0">
                  <c:v>FY2018</c:v>
                </c:pt>
                <c:pt idx="1">
                  <c:v>FY2019</c:v>
                </c:pt>
                <c:pt idx="2">
                  <c:v>FY2020</c:v>
                </c:pt>
                <c:pt idx="3">
                  <c:v>FY2021</c:v>
                </c:pt>
                <c:pt idx="4">
                  <c:v>FY2022</c:v>
                </c:pt>
                <c:pt idx="5">
                  <c:v>FY2023</c:v>
                </c:pt>
              </c:strCache>
            </c:strRef>
          </c:cat>
          <c:val>
            <c:numRef>
              <c:f>Summary!$T$14:$T$19</c:f>
              <c:numCache>
                <c:formatCode>#,##0;[Red]\(#,##0\);\-</c:formatCode>
                <c:ptCount val="6"/>
                <c:pt idx="0">
                  <c:v>222985</c:v>
                </c:pt>
                <c:pt idx="1">
                  <c:v>196585</c:v>
                </c:pt>
                <c:pt idx="2">
                  <c:v>209121</c:v>
                </c:pt>
                <c:pt idx="3">
                  <c:v>263737</c:v>
                </c:pt>
                <c:pt idx="4">
                  <c:v>446948</c:v>
                </c:pt>
                <c:pt idx="5">
                  <c:v>497249</c:v>
                </c:pt>
              </c:numCache>
            </c:numRef>
          </c:val>
          <c:smooth val="0"/>
          <c:extLst>
            <c:ext xmlns:c16="http://schemas.microsoft.com/office/drawing/2014/chart" uri="{C3380CC4-5D6E-409C-BE32-E72D297353CC}">
              <c16:uniqueId val="{00000000-6DC1-4143-A0ED-EAD72DE8540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 million</a:t>
                </a:r>
              </a:p>
            </c:rich>
          </c:tx>
          <c:overlay val="0"/>
        </c:title>
        <c:numFmt formatCode="#,##0"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Operating Working Capital / Revenue</a:t>
            </a:r>
          </a:p>
        </c:rich>
      </c:tx>
      <c:overlay val="0"/>
    </c:title>
    <c:autoTitleDeleted val="0"/>
    <c:plotArea>
      <c:layout/>
      <c:lineChart>
        <c:grouping val="standard"/>
        <c:varyColors val="0"/>
        <c:ser>
          <c:idx val="0"/>
          <c:order val="0"/>
          <c:tx>
            <c:v>OWC / Revenue</c:v>
          </c:tx>
          <c:spPr>
            <a:ln w="19050">
              <a:solidFill>
                <a:srgbClr val="2F75B5"/>
              </a:solidFill>
              <a:prstDash val="solid"/>
            </a:ln>
          </c:spPr>
          <c:marker>
            <c:symbol val="none"/>
          </c:marker>
          <c:cat>
            <c:strRef>
              <c:f>Summary!$S$14:$S$19</c:f>
              <c:strCache>
                <c:ptCount val="6"/>
                <c:pt idx="0">
                  <c:v>FY2018</c:v>
                </c:pt>
                <c:pt idx="1">
                  <c:v>FY2019</c:v>
                </c:pt>
                <c:pt idx="2">
                  <c:v>FY2020</c:v>
                </c:pt>
                <c:pt idx="3">
                  <c:v>FY2021</c:v>
                </c:pt>
                <c:pt idx="4">
                  <c:v>FY2022</c:v>
                </c:pt>
                <c:pt idx="5">
                  <c:v>FY2023</c:v>
                </c:pt>
              </c:strCache>
            </c:strRef>
          </c:cat>
          <c:val>
            <c:numRef>
              <c:f>Summary!$U$14:$U$19</c:f>
              <c:numCache>
                <c:formatCode>0.0%</c:formatCode>
                <c:ptCount val="6"/>
                <c:pt idx="0">
                  <c:v>0.10306083540354728</c:v>
                </c:pt>
                <c:pt idx="1">
                  <c:v>8.6723269019696417E-2</c:v>
                </c:pt>
                <c:pt idx="2">
                  <c:v>9.0190532627062725E-2</c:v>
                </c:pt>
                <c:pt idx="3">
                  <c:v>0.10334902617886396</c:v>
                </c:pt>
                <c:pt idx="4">
                  <c:v>0.12805865138264996</c:v>
                </c:pt>
                <c:pt idx="5">
                  <c:v>0.11385503505872047</c:v>
                </c:pt>
              </c:numCache>
            </c:numRef>
          </c:val>
          <c:smooth val="0"/>
          <c:extLst>
            <c:ext xmlns:c16="http://schemas.microsoft.com/office/drawing/2014/chart" uri="{C3380CC4-5D6E-409C-BE32-E72D297353CC}">
              <c16:uniqueId val="{00000000-F799-4809-ACBA-A2A5A1231B1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 of Revenue</a:t>
                </a:r>
              </a:p>
            </c:rich>
          </c:tx>
          <c:overlay val="0"/>
        </c:title>
        <c:numFmt formatCode="0.0%"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Carlito"/>
                <a:ea typeface="Carlito"/>
                <a:cs typeface="Carlito"/>
              </a:rPr>
              <a:t>NTT DATA — Operating Cash Conversion</a:t>
            </a:r>
          </a:p>
        </c:rich>
      </c:tx>
      <c:overlay val="0"/>
    </c:title>
    <c:autoTitleDeleted val="0"/>
    <c:plotArea>
      <c:layout/>
      <c:lineChart>
        <c:grouping val="standard"/>
        <c:varyColors val="0"/>
        <c:ser>
          <c:idx val="0"/>
          <c:order val="0"/>
          <c:tx>
            <c:v>CFO / EBITDA</c:v>
          </c:tx>
          <c:spPr>
            <a:ln w="19050">
              <a:solidFill>
                <a:srgbClr val="4472C4"/>
              </a:solidFill>
              <a:prstDash val="solid"/>
            </a:ln>
          </c:spPr>
          <c:marker>
            <c:symbol val="none"/>
          </c:marker>
          <c:cat>
            <c:strRef>
              <c:f>Summary!$S$4:$S$10</c:f>
              <c:strCache>
                <c:ptCount val="7"/>
                <c:pt idx="0">
                  <c:v>FY2018</c:v>
                </c:pt>
                <c:pt idx="1">
                  <c:v>FY2019</c:v>
                </c:pt>
                <c:pt idx="2">
                  <c:v>FY2020</c:v>
                </c:pt>
                <c:pt idx="3">
                  <c:v>FY2021</c:v>
                </c:pt>
                <c:pt idx="4">
                  <c:v>FY2022</c:v>
                </c:pt>
                <c:pt idx="5">
                  <c:v>FY2023</c:v>
                </c:pt>
                <c:pt idx="6">
                  <c:v>FY2024</c:v>
                </c:pt>
              </c:strCache>
            </c:strRef>
          </c:cat>
          <c:val>
            <c:numRef>
              <c:f>Summary!$T$4:$T$10</c:f>
              <c:numCache>
                <c:formatCode>0.0%</c:formatCode>
                <c:ptCount val="7"/>
                <c:pt idx="0">
                  <c:v>0.78469520103761348</c:v>
                </c:pt>
                <c:pt idx="1">
                  <c:v>0.94690564761582685</c:v>
                </c:pt>
                <c:pt idx="2">
                  <c:v>1.1005307524196066</c:v>
                </c:pt>
                <c:pt idx="3">
                  <c:v>0.78602177766523174</c:v>
                </c:pt>
                <c:pt idx="4">
                  <c:v>0.72708419742845287</c:v>
                </c:pt>
                <c:pt idx="5">
                  <c:v>0.8434037876225905</c:v>
                </c:pt>
                <c:pt idx="6">
                  <c:v>0.63798875502008034</c:v>
                </c:pt>
              </c:numCache>
            </c:numRef>
          </c:val>
          <c:smooth val="0"/>
          <c:extLst>
            <c:ext xmlns:c16="http://schemas.microsoft.com/office/drawing/2014/chart" uri="{C3380CC4-5D6E-409C-BE32-E72D297353CC}">
              <c16:uniqueId val="{00000000-BF60-4EBA-B2A0-209B59C3D72F}"/>
            </c:ext>
          </c:extLst>
        </c:ser>
        <c:ser>
          <c:idx val="1"/>
          <c:order val="1"/>
          <c:tx>
            <c:v>CFO / Operating Profit</c:v>
          </c:tx>
          <c:spPr>
            <a:ln w="19050">
              <a:solidFill>
                <a:srgbClr val="2F75B5"/>
              </a:solidFill>
              <a:prstDash val="solid"/>
            </a:ln>
          </c:spPr>
          <c:marker>
            <c:symbol val="none"/>
          </c:marker>
          <c:cat>
            <c:strRef>
              <c:f>Summary!$S$4:$S$10</c:f>
              <c:strCache>
                <c:ptCount val="7"/>
                <c:pt idx="0">
                  <c:v>FY2018</c:v>
                </c:pt>
                <c:pt idx="1">
                  <c:v>FY2019</c:v>
                </c:pt>
                <c:pt idx="2">
                  <c:v>FY2020</c:v>
                </c:pt>
                <c:pt idx="3">
                  <c:v>FY2021</c:v>
                </c:pt>
                <c:pt idx="4">
                  <c:v>FY2022</c:v>
                </c:pt>
                <c:pt idx="5">
                  <c:v>FY2023</c:v>
                </c:pt>
                <c:pt idx="6">
                  <c:v>FY2024</c:v>
                </c:pt>
              </c:strCache>
            </c:strRef>
          </c:cat>
          <c:val>
            <c:numRef>
              <c:f>Summary!$U$4:$U$10</c:f>
              <c:numCache>
                <c:formatCode>0.0%</c:formatCode>
                <c:ptCount val="7"/>
                <c:pt idx="0">
                  <c:v>1.638278859432966</c:v>
                </c:pt>
                <c:pt idx="1">
                  <c:v>2.1384329868562744</c:v>
                </c:pt>
                <c:pt idx="2">
                  <c:v>2.5328188657282662</c:v>
                </c:pt>
                <c:pt idx="3">
                  <c:v>1.4600874923561786</c:v>
                </c:pt>
                <c:pt idx="4">
                  <c:v>1.3530932808459728</c:v>
                </c:pt>
                <c:pt idx="5">
                  <c:v>1.6113306046499607</c:v>
                </c:pt>
                <c:pt idx="6">
                  <c:v>1.2262877398398082</c:v>
                </c:pt>
              </c:numCache>
            </c:numRef>
          </c:val>
          <c:smooth val="0"/>
          <c:extLst>
            <c:ext xmlns:c16="http://schemas.microsoft.com/office/drawing/2014/chart" uri="{C3380CC4-5D6E-409C-BE32-E72D297353CC}">
              <c16:uniqueId val="{00000001-BF60-4EBA-B2A0-209B59C3D72F}"/>
            </c:ext>
          </c:extLst>
        </c:ser>
        <c:ser>
          <c:idx val="2"/>
          <c:order val="2"/>
          <c:tx>
            <c:v>CFO / Net Income</c:v>
          </c:tx>
          <c:spPr>
            <a:ln w="19050">
              <a:solidFill>
                <a:srgbClr val="548235"/>
              </a:solidFill>
              <a:prstDash val="solid"/>
            </a:ln>
          </c:spPr>
          <c:marker>
            <c:symbol val="none"/>
          </c:marker>
          <c:cat>
            <c:strRef>
              <c:f>Summary!$S$4:$S$10</c:f>
              <c:strCache>
                <c:ptCount val="7"/>
                <c:pt idx="0">
                  <c:v>FY2018</c:v>
                </c:pt>
                <c:pt idx="1">
                  <c:v>FY2019</c:v>
                </c:pt>
                <c:pt idx="2">
                  <c:v>FY2020</c:v>
                </c:pt>
                <c:pt idx="3">
                  <c:v>FY2021</c:v>
                </c:pt>
                <c:pt idx="4">
                  <c:v>FY2022</c:v>
                </c:pt>
                <c:pt idx="5">
                  <c:v>FY2023</c:v>
                </c:pt>
                <c:pt idx="6">
                  <c:v>FY2024</c:v>
                </c:pt>
              </c:strCache>
            </c:strRef>
          </c:cat>
          <c:val>
            <c:numRef>
              <c:f>Summary!$V$4:$V$10</c:f>
              <c:numCache>
                <c:formatCode>0.0%</c:formatCode>
                <c:ptCount val="7"/>
                <c:pt idx="0">
                  <c:v>2.4768689101776795</c:v>
                </c:pt>
                <c:pt idx="1">
                  <c:v>3.5100035100035099</c:v>
                </c:pt>
                <c:pt idx="2">
                  <c:v>4.3145126742634732</c:v>
                </c:pt>
                <c:pt idx="3">
                  <c:v>2.0679271428761776</c:v>
                </c:pt>
                <c:pt idx="4">
                  <c:v>2.1010241443989668</c:v>
                </c:pt>
                <c:pt idx="5">
                  <c:v>3.4271373702255721</c:v>
                </c:pt>
                <c:pt idx="6">
                  <c:v>2.8518454689070802</c:v>
                </c:pt>
              </c:numCache>
            </c:numRef>
          </c:val>
          <c:smooth val="0"/>
          <c:extLst>
            <c:ext xmlns:c16="http://schemas.microsoft.com/office/drawing/2014/chart" uri="{C3380CC4-5D6E-409C-BE32-E72D297353CC}">
              <c16:uniqueId val="{00000002-BF60-4EBA-B2A0-209B59C3D72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Fiscal Year</a:t>
                </a:r>
              </a:p>
            </c:rich>
          </c:tx>
          <c:overlay val="0"/>
        </c:title>
        <c:numFmt formatCode="General" sourceLinked="1"/>
        <c:majorTickMark val="none"/>
        <c:minorTickMark val="none"/>
        <c:tickLblPos val="nextTo"/>
        <c:txPr>
          <a:bodyPr anchorCtr="1"/>
          <a:lstStyle/>
          <a:p>
            <a:pPr>
              <a:defRPr sz="750">
                <a:latin typeface="Carlito"/>
                <a:ea typeface="Carlito"/>
                <a:cs typeface="Carlito"/>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 of denominator</a:t>
                </a:r>
              </a:p>
            </c:rich>
          </c:tx>
          <c:overlay val="0"/>
        </c:title>
        <c:numFmt formatCode="0.0%" sourceLinked="0"/>
        <c:majorTickMark val="none"/>
        <c:minorTickMark val="none"/>
        <c:tickLblPos val="nextTo"/>
        <c:txPr>
          <a:bodyPr anchorCtr="1"/>
          <a:lstStyle/>
          <a:p>
            <a:pPr>
              <a:defRPr sz="750">
                <a:latin typeface="Carlito"/>
                <a:ea typeface="Carlito"/>
                <a:cs typeface="Carlito"/>
              </a:defRPr>
            </a:pPr>
            <a:endParaRPr lang="en-US"/>
          </a:p>
        </c:txPr>
        <c:crossAx val="48650112"/>
        <c:crosses val="autoZero"/>
        <c:crossBetween val="between"/>
      </c:valAx>
    </c:plotArea>
    <c:legend>
      <c:legendPos val="t"/>
      <c:overlay val="0"/>
      <c:txPr>
        <a:bodyPr anchorCtr="1"/>
        <a:lstStyle/>
        <a:p>
          <a:pPr>
            <a:defRPr sz="750">
              <a:latin typeface="Carlito"/>
              <a:ea typeface="Carlito"/>
              <a:cs typeface="Carlito"/>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0</xdr:colOff>
      <xdr:row>35</xdr:row>
      <xdr:rowOff>0</xdr:rowOff>
    </xdr:from>
    <xdr:to>
      <xdr:col>11</xdr:col>
      <xdr:colOff>0</xdr:colOff>
      <xdr:row>52</xdr:row>
      <xdr:rowOff>0</xdr:rowOff>
    </xdr:to>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54</xdr:row>
      <xdr:rowOff>0</xdr:rowOff>
    </xdr:from>
    <xdr:to>
      <xdr:col>11</xdr:col>
      <xdr:colOff>0</xdr:colOff>
      <xdr:row>71</xdr:row>
      <xdr:rowOff>0</xdr:rowOff>
    </xdr:to>
    <xdr:graphicFrame macro="">
      <xdr:nvGraphicFramePr>
        <xdr:cNvPr id="3" name="Chart">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73</xdr:row>
      <xdr:rowOff>0</xdr:rowOff>
    </xdr:from>
    <xdr:to>
      <xdr:col>11</xdr:col>
      <xdr:colOff>0</xdr:colOff>
      <xdr:row>90</xdr:row>
      <xdr:rowOff>0</xdr:rowOff>
    </xdr:to>
    <xdr:graphicFrame macro="">
      <xdr:nvGraphicFramePr>
        <xdr:cNvPr id="4" name="Chart">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8</xdr:col>
      <xdr:colOff>0</xdr:colOff>
      <xdr:row>45</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17</xdr:col>
      <xdr:colOff>0</xdr:colOff>
      <xdr:row>45</xdr:row>
      <xdr:rowOff>0</xdr:rowOff>
    </xdr:to>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46</xdr:row>
      <xdr:rowOff>0</xdr:rowOff>
    </xdr:from>
    <xdr:to>
      <xdr:col>8</xdr:col>
      <xdr:colOff>0</xdr:colOff>
      <xdr:row>63</xdr:row>
      <xdr:rowOff>0</xdr:rowOff>
    </xdr:to>
    <xdr:graphicFrame macro="">
      <xdr:nvGraphicFramePr>
        <xdr:cNvPr id="4" name="Chart">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46</xdr:row>
      <xdr:rowOff>0</xdr:rowOff>
    </xdr:from>
    <xdr:to>
      <xdr:col>17</xdr:col>
      <xdr:colOff>0</xdr:colOff>
      <xdr:row>63</xdr:row>
      <xdr:rowOff>0</xdr:rowOff>
    </xdr:to>
    <xdr:graphicFrame macro="">
      <xdr:nvGraphicFramePr>
        <xdr:cNvPr id="5" name="Chart">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64</xdr:row>
      <xdr:rowOff>0</xdr:rowOff>
    </xdr:from>
    <xdr:to>
      <xdr:col>8</xdr:col>
      <xdr:colOff>0</xdr:colOff>
      <xdr:row>81</xdr:row>
      <xdr:rowOff>0</xdr:rowOff>
    </xdr:to>
    <xdr:graphicFrame macro="">
      <xdr:nvGraphicFramePr>
        <xdr:cNvPr id="6" name="Chart">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gmentsTable" displayName="SegmentsTable" ref="A4:I35" totalsRowShown="0">
  <tableColumns count="9">
    <tableColumn id="1" xr3:uid="{00000000-0010-0000-0000-000001000000}" name="Fiscal year"/>
    <tableColumn id="2" xr3:uid="{00000000-0010-0000-0000-000002000000}" name="Reporting basis"/>
    <tableColumn id="3" xr3:uid="{00000000-0010-0000-0000-000003000000}" name="Breakdown type"/>
    <tableColumn id="4" xr3:uid="{00000000-0010-0000-0000-000004000000}" name="Reported label"/>
    <tableColumn id="5" xr3:uid="{00000000-0010-0000-0000-000005000000}" name="Revenue (¥ million)"/>
    <tableColumn id="6" xr3:uid="{00000000-0010-0000-0000-000006000000}" name="Operating profit (¥ million)"/>
    <tableColumn id="7" xr3:uid="{00000000-0010-0000-0000-000007000000}" name="Source ID"/>
    <tableColumn id="8" xr3:uid="{00000000-0010-0000-0000-000008000000}" name="Source note"/>
    <tableColumn id="9" xr3:uid="{00000000-0010-0000-0000-000009000000}" name="Comparability warn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rdersTable" displayName="OrdersTable" ref="A4:H15" totalsRowShown="0">
  <tableColumns count="8">
    <tableColumn id="1" xr3:uid="{00000000-0010-0000-0100-000001000000}" name="Fiscal year"/>
    <tableColumn id="2" xr3:uid="{00000000-0010-0000-0100-000002000000}" name="Accounting basis"/>
    <tableColumn id="3" xr3:uid="{00000000-0010-0000-0100-000003000000}" name="New orders / order intake (¥ million)"/>
    <tableColumn id="4" xr3:uid="{00000000-0010-0000-0100-000004000000}" name="Year-end order backlog (¥ million)"/>
    <tableColumn id="5" xr3:uid="{00000000-0010-0000-0100-000005000000}" name="Source ID"/>
    <tableColumn id="6" xr3:uid="{00000000-0010-0000-0100-000006000000}" name="Definition / scope note"/>
    <tableColumn id="7" xr3:uid="{00000000-0010-0000-0100-000007000000}" name="Selected contract / order commentary"/>
    <tableColumn id="8" xr3:uid="{00000000-0010-0000-0100-000008000000}" name="Comparability warn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btTable" displayName="DebtTable" ref="A4:J76" totalsRowShown="0">
  <tableColumns count="10">
    <tableColumn id="1" xr3:uid="{00000000-0010-0000-0200-000001000000}" name="Fiscal year"/>
    <tableColumn id="2" xr3:uid="{00000000-0010-0000-0200-000002000000}" name="Basis"/>
    <tableColumn id="3" xr3:uid="{00000000-0010-0000-0200-000003000000}" name="Metric"/>
    <tableColumn id="4" xr3:uid="{00000000-0010-0000-0200-000004000000}" name="Reported value"/>
    <tableColumn id="5" xr3:uid="{00000000-0010-0000-0200-000005000000}" name="Unit"/>
    <tableColumn id="6" xr3:uid="{00000000-0010-0000-0200-000006000000}" name="Source ID"/>
    <tableColumn id="7" xr3:uid="{00000000-0010-0000-0200-000007000000}" name="Source context"/>
    <tableColumn id="8" xr3:uid="{00000000-0010-0000-0200-000008000000}" name="Maturity / rate note"/>
    <tableColumn id="9" xr3:uid="{00000000-0010-0000-0200-000009000000}" name="Rating / refinancing note"/>
    <tableColumn id="10" xr3:uid="{00000000-0010-0000-0200-00000A000000}" name="Comparability warn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ructureTable" displayName="StructureTable" ref="A4:K13" totalsRowShown="0">
  <tableColumns count="11">
    <tableColumn id="1" xr3:uid="{00000000-0010-0000-0300-000001000000}" name="Fiscal year"/>
    <tableColumn id="2" xr3:uid="{00000000-0010-0000-0300-000002000000}" name="Date"/>
    <tableColumn id="3" xr3:uid="{00000000-0010-0000-0300-000003000000}" name="Event"/>
    <tableColumn id="4" xr3:uid="{00000000-0010-0000-0300-000004000000}" name="Company / business"/>
    <tableColumn id="5" xr3:uid="{00000000-0010-0000-0300-000005000000}" name="Event type"/>
    <tableColumn id="6" xr3:uid="{00000000-0010-0000-0300-000006000000}" name="Purchase price / consideration"/>
    <tableColumn id="7" xr3:uid="{00000000-0010-0000-0300-000007000000}" name="Key disclosed financial impact"/>
    <tableColumn id="8" xr3:uid="{00000000-0010-0000-0300-000008000000}" name="Metrics affected"/>
    <tableColumn id="9" xr3:uid="{00000000-0010-0000-0300-000009000000}" name="Comparability impact"/>
    <tableColumn id="10" xr3:uid="{00000000-0010-0000-0300-00000A000000}" name="Source ID"/>
    <tableColumn id="11" xr3:uid="{00000000-0010-0000-0300-00000B000000}" name="Source no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EvidenceTable" displayName="QualEvidenceTable" ref="A4:J15" totalsRowShown="0">
  <tableColumns count="10">
    <tableColumn id="1" xr3:uid="{00000000-0010-0000-0400-000001000000}" name="Fiscal year / date"/>
    <tableColumn id="2" xr3:uid="{00000000-0010-0000-0400-000002000000}" name="Topic"/>
    <tableColumn id="3" xr3:uid="{00000000-0010-0000-0400-000003000000}" name="Management statement summary"/>
    <tableColumn id="4" xr3:uid="{00000000-0010-0000-0400-000004000000}" name="Related metric"/>
    <tableColumn id="5" xr3:uid="{00000000-0010-0000-0400-000005000000}" name="Explanation / accounting meaning"/>
    <tableColumn id="6" xr3:uid="{00000000-0010-0000-0400-000006000000}" name="Source document"/>
    <tableColumn id="7" xr3:uid="{00000000-0010-0000-0400-000007000000}" name="Page / section"/>
    <tableColumn id="8" xr3:uid="{00000000-0010-0000-0400-000008000000}" name="Source ID"/>
    <tableColumn id="9" xr3:uid="{00000000-0010-0000-0400-000009000000}" name="URL"/>
    <tableColumn id="10" xr3:uid="{00000000-0010-0000-0400-00000A000000}" name="Classifica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sTable" displayName="SourcesTable" ref="A4:I24" totalsRowShown="0">
  <tableColumns count="9">
    <tableColumn id="1" xr3:uid="{00000000-0010-0000-0500-000001000000}" name="Source ID"/>
    <tableColumn id="2" xr3:uid="{00000000-0010-0000-0500-000002000000}" name="Document name"/>
    <tableColumn id="3" xr3:uid="{00000000-0010-0000-0500-000003000000}" name="Document type"/>
    <tableColumn id="4" xr3:uid="{00000000-0010-0000-0500-000004000000}" name="Fiscal year(s)"/>
    <tableColumn id="5" xr3:uid="{00000000-0010-0000-0500-000005000000}" name="Publication date"/>
    <tableColumn id="6" xr3:uid="{00000000-0010-0000-0500-000006000000}" name="URL"/>
    <tableColumn id="7" xr3:uid="{00000000-0010-0000-0500-000007000000}" name="Audit / status"/>
    <tableColumn id="8" xr3:uid="{00000000-0010-0000-0500-000008000000}" name="Relevant pages / sections"/>
    <tableColumn id="9" xr3:uid="{00000000-0010-0000-0500-000009000000}" name="Comment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imitationsTable" displayName="LimitationsTable" ref="A4:G22" totalsRowShown="0">
  <tableColumns count="7">
    <tableColumn id="1" xr3:uid="{00000000-0010-0000-0600-000001000000}" name="Issue"/>
    <tableColumn id="2" xr3:uid="{00000000-0010-0000-0600-000002000000}" name="Affected variable"/>
    <tableColumn id="3" xr3:uid="{00000000-0010-0000-0600-000003000000}" name="Affected year(s)"/>
    <tableColumn id="4" xr3:uid="{00000000-0010-0000-0600-000004000000}" name="Why the problem exists"/>
    <tableColumn id="5" xr3:uid="{00000000-0010-0000-0600-000005000000}" name="Treatment used"/>
    <tableColumn id="6" xr3:uid="{00000000-0010-0000-0600-000006000000}" name="Potential analytical impact"/>
    <tableColumn id="7" xr3:uid="{00000000-0010-0000-0600-000007000000}" name="Source I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odelSetupTable" displayName="ModelSetupTable" ref="A1:F12" totalsRowShown="0">
  <autoFilter ref="A1:F12" xr:uid="{00000000-0009-0000-0100-000008000000}"/>
  <tableColumns count="6">
    <tableColumn id="1" xr3:uid="{00000000-0010-0000-0700-000001000000}" name="Fiscal Year"/>
    <tableColumn id="2" xr3:uid="{00000000-0010-0000-0700-000002000000}" name="Accounting Basis"/>
    <tableColumn id="3" xr3:uid="{00000000-0010-0000-0700-000003000000}" name="Main Model"/>
    <tableColumn id="4" xr3:uid="{00000000-0010-0000-0700-000004000000}" name="Avg-Balance Ratios"/>
    <tableColumn id="5" xr3:uid="{00000000-0010-0000-0700-000005000000}" name="Structural Period"/>
    <tableColumn id="6" xr3:uid="{00000000-0010-0000-0700-000006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0"/>
  <sheetViews>
    <sheetView workbookViewId="0">
      <selection sqref="A1:H1"/>
    </sheetView>
  </sheetViews>
  <sheetFormatPr defaultRowHeight="14"/>
  <cols>
    <col min="1" max="1" width="24" customWidth="1"/>
    <col min="2" max="2" width="28" customWidth="1"/>
    <col min="3" max="3" width="68" customWidth="1"/>
    <col min="4" max="8" width="12" customWidth="1"/>
  </cols>
  <sheetData>
    <row r="1" spans="1:26" ht="18.649999999999999" customHeight="1">
      <c r="A1" s="140" t="s">
        <v>0</v>
      </c>
      <c r="B1" s="140"/>
      <c r="C1" s="140"/>
      <c r="D1" s="140"/>
      <c r="E1" s="140"/>
      <c r="F1" s="140"/>
      <c r="G1" s="140"/>
      <c r="H1" s="140"/>
      <c r="I1" s="1"/>
      <c r="J1" s="1"/>
      <c r="K1" s="1"/>
      <c r="L1" s="1"/>
      <c r="M1" s="1"/>
      <c r="N1" s="1"/>
      <c r="O1" s="1"/>
      <c r="P1" s="1"/>
      <c r="Q1" s="1"/>
      <c r="R1" s="1"/>
      <c r="S1" s="1"/>
      <c r="T1" s="1"/>
      <c r="U1" s="1"/>
      <c r="V1" s="1"/>
      <c r="W1" s="1"/>
      <c r="X1" s="1"/>
      <c r="Y1" s="1"/>
      <c r="Z1" s="1"/>
    </row>
    <row r="2" spans="1:26" ht="21.4" customHeight="1">
      <c r="A2" s="141" t="s">
        <v>1</v>
      </c>
      <c r="B2" s="141"/>
      <c r="C2" s="141"/>
      <c r="D2" s="141"/>
      <c r="E2" s="141"/>
      <c r="F2" s="141"/>
      <c r="G2" s="141"/>
      <c r="H2" s="14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42" t="s">
        <v>2</v>
      </c>
      <c r="B4" s="142"/>
      <c r="C4" s="142"/>
      <c r="D4" s="142"/>
      <c r="E4" s="142"/>
      <c r="F4" s="142"/>
      <c r="G4" s="142"/>
      <c r="H4" s="142"/>
      <c r="I4" s="1"/>
      <c r="J4" s="1"/>
      <c r="K4" s="1"/>
      <c r="L4" s="1"/>
      <c r="M4" s="1"/>
      <c r="N4" s="1"/>
      <c r="O4" s="1"/>
      <c r="P4" s="1"/>
      <c r="Q4" s="1"/>
      <c r="R4" s="1"/>
      <c r="S4" s="1"/>
      <c r="T4" s="1"/>
      <c r="U4" s="1"/>
      <c r="V4" s="1"/>
      <c r="W4" s="1"/>
      <c r="X4" s="1"/>
      <c r="Y4" s="1"/>
      <c r="Z4" s="1"/>
    </row>
    <row r="5" spans="1:26" ht="112">
      <c r="A5" s="2" t="s">
        <v>3</v>
      </c>
      <c r="B5" s="3" t="s">
        <v>4</v>
      </c>
      <c r="C5" s="3"/>
      <c r="D5" s="1"/>
      <c r="E5" s="1"/>
      <c r="F5" s="1"/>
      <c r="G5" s="1"/>
      <c r="H5" s="1"/>
      <c r="I5" s="1"/>
      <c r="J5" s="1"/>
      <c r="K5" s="1"/>
      <c r="L5" s="1"/>
      <c r="M5" s="1"/>
      <c r="N5" s="1"/>
      <c r="O5" s="1"/>
      <c r="P5" s="1"/>
      <c r="Q5" s="1"/>
      <c r="R5" s="1"/>
      <c r="S5" s="1"/>
      <c r="T5" s="1"/>
      <c r="U5" s="1"/>
      <c r="V5" s="1"/>
      <c r="W5" s="1"/>
      <c r="X5" s="1"/>
      <c r="Y5" s="1"/>
      <c r="Z5" s="1"/>
    </row>
    <row r="6" spans="1:26" ht="42">
      <c r="A6" s="2" t="s">
        <v>5</v>
      </c>
      <c r="B6" s="3" t="s">
        <v>6</v>
      </c>
      <c r="C6" s="3"/>
      <c r="D6" s="1"/>
      <c r="E6" s="1"/>
      <c r="F6" s="1"/>
      <c r="G6" s="1"/>
      <c r="H6" s="1"/>
      <c r="I6" s="1"/>
      <c r="J6" s="1"/>
      <c r="K6" s="1"/>
      <c r="L6" s="1"/>
      <c r="M6" s="1"/>
      <c r="N6" s="1"/>
      <c r="O6" s="1"/>
      <c r="P6" s="1"/>
      <c r="Q6" s="1"/>
      <c r="R6" s="1"/>
      <c r="S6" s="1"/>
      <c r="T6" s="1"/>
      <c r="U6" s="1"/>
      <c r="V6" s="1"/>
      <c r="W6" s="1"/>
      <c r="X6" s="1"/>
      <c r="Y6" s="1"/>
      <c r="Z6" s="1"/>
    </row>
    <row r="7" spans="1:26" ht="56">
      <c r="A7" s="2" t="s">
        <v>7</v>
      </c>
      <c r="B7" s="3" t="s">
        <v>8</v>
      </c>
      <c r="C7" s="3"/>
      <c r="D7" s="1"/>
      <c r="E7" s="1"/>
      <c r="F7" s="1"/>
      <c r="G7" s="1"/>
      <c r="H7" s="1"/>
      <c r="I7" s="1"/>
      <c r="J7" s="1"/>
      <c r="K7" s="1"/>
      <c r="L7" s="1"/>
      <c r="M7" s="1"/>
      <c r="N7" s="1"/>
      <c r="O7" s="1"/>
      <c r="P7" s="1"/>
      <c r="Q7" s="1"/>
      <c r="R7" s="1"/>
      <c r="S7" s="1"/>
      <c r="T7" s="1"/>
      <c r="U7" s="1"/>
      <c r="V7" s="1"/>
      <c r="W7" s="1"/>
      <c r="X7" s="1"/>
      <c r="Y7" s="1"/>
      <c r="Z7" s="1"/>
    </row>
    <row r="8" spans="1:26" ht="56">
      <c r="A8" s="2" t="s">
        <v>9</v>
      </c>
      <c r="B8" s="3" t="s">
        <v>10</v>
      </c>
      <c r="C8" s="3"/>
      <c r="D8" s="1"/>
      <c r="E8" s="1"/>
      <c r="F8" s="1"/>
      <c r="G8" s="1"/>
      <c r="H8" s="1"/>
      <c r="I8" s="1"/>
      <c r="J8" s="1"/>
      <c r="K8" s="1"/>
      <c r="L8" s="1"/>
      <c r="M8" s="1"/>
      <c r="N8" s="1"/>
      <c r="O8" s="1"/>
      <c r="P8" s="1"/>
      <c r="Q8" s="1"/>
      <c r="R8" s="1"/>
      <c r="S8" s="1"/>
      <c r="T8" s="1"/>
      <c r="U8" s="1"/>
      <c r="V8" s="1"/>
      <c r="W8" s="1"/>
      <c r="X8" s="1"/>
      <c r="Y8" s="1"/>
      <c r="Z8" s="1"/>
    </row>
    <row r="9" spans="1:26" ht="42">
      <c r="A9" s="2" t="s">
        <v>11</v>
      </c>
      <c r="B9" s="3" t="s">
        <v>12</v>
      </c>
      <c r="C9" s="3"/>
      <c r="D9" s="1"/>
      <c r="E9" s="1"/>
      <c r="F9" s="1"/>
      <c r="G9" s="1"/>
      <c r="H9" s="1"/>
      <c r="I9" s="1"/>
      <c r="J9" s="1"/>
      <c r="K9" s="1"/>
      <c r="L9" s="1"/>
      <c r="M9" s="1"/>
      <c r="N9" s="1"/>
      <c r="O9" s="1"/>
      <c r="P9" s="1"/>
      <c r="Q9" s="1"/>
      <c r="R9" s="1"/>
      <c r="S9" s="1"/>
      <c r="T9" s="1"/>
      <c r="U9" s="1"/>
      <c r="V9" s="1"/>
      <c r="W9" s="1"/>
      <c r="X9" s="1"/>
      <c r="Y9" s="1"/>
      <c r="Z9" s="1"/>
    </row>
    <row r="10" spans="1:26" ht="70">
      <c r="A10" s="2" t="s">
        <v>13</v>
      </c>
      <c r="B10" s="3" t="s">
        <v>14</v>
      </c>
      <c r="C10" s="3"/>
      <c r="D10" s="1"/>
      <c r="E10" s="1"/>
      <c r="F10" s="1"/>
      <c r="G10" s="1"/>
      <c r="H10" s="1"/>
      <c r="I10" s="1"/>
      <c r="J10" s="1"/>
      <c r="K10" s="1"/>
      <c r="L10" s="1"/>
      <c r="M10" s="1"/>
      <c r="N10" s="1"/>
      <c r="O10" s="1"/>
      <c r="P10" s="1"/>
      <c r="Q10" s="1"/>
      <c r="R10" s="1"/>
      <c r="S10" s="1"/>
      <c r="T10" s="1"/>
      <c r="U10" s="1"/>
      <c r="V10" s="1"/>
      <c r="W10" s="1"/>
      <c r="X10" s="1"/>
      <c r="Y10" s="1"/>
      <c r="Z10" s="1"/>
    </row>
    <row r="11" spans="1:26" ht="70">
      <c r="A11" s="2" t="s">
        <v>15</v>
      </c>
      <c r="B11" s="3" t="s">
        <v>16</v>
      </c>
      <c r="C11" s="3"/>
      <c r="D11" s="1"/>
      <c r="E11" s="1"/>
      <c r="F11" s="1"/>
      <c r="G11" s="1"/>
      <c r="H11" s="1"/>
      <c r="I11" s="1"/>
      <c r="J11" s="1"/>
      <c r="K11" s="1"/>
      <c r="L11" s="1"/>
      <c r="M11" s="1"/>
      <c r="N11" s="1"/>
      <c r="O11" s="1"/>
      <c r="P11" s="1"/>
      <c r="Q11" s="1"/>
      <c r="R11" s="1"/>
      <c r="S11" s="1"/>
      <c r="T11" s="1"/>
      <c r="U11" s="1"/>
      <c r="V11" s="1"/>
      <c r="W11" s="1"/>
      <c r="X11" s="1"/>
      <c r="Y11" s="1"/>
      <c r="Z11" s="1"/>
    </row>
    <row r="12" spans="1:26" ht="70">
      <c r="A12" s="2" t="s">
        <v>17</v>
      </c>
      <c r="B12" s="3" t="s">
        <v>18</v>
      </c>
      <c r="C12" s="3"/>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42" t="s">
        <v>19</v>
      </c>
      <c r="B14" s="142"/>
      <c r="C14" s="142"/>
      <c r="D14" s="142"/>
      <c r="E14" s="142"/>
      <c r="F14" s="142"/>
      <c r="G14" s="142"/>
      <c r="H14" s="142"/>
      <c r="I14" s="1"/>
      <c r="J14" s="1"/>
      <c r="K14" s="1"/>
      <c r="L14" s="1"/>
      <c r="M14" s="1"/>
      <c r="N14" s="1"/>
      <c r="O14" s="1"/>
      <c r="P14" s="1"/>
      <c r="Q14" s="1"/>
      <c r="R14" s="1"/>
      <c r="S14" s="1"/>
      <c r="T14" s="1"/>
      <c r="U14" s="1"/>
      <c r="V14" s="1"/>
      <c r="W14" s="1"/>
      <c r="X14" s="1"/>
      <c r="Y14" s="1"/>
      <c r="Z14" s="1"/>
    </row>
    <row r="15" spans="1:26" ht="28">
      <c r="A15" s="2" t="s">
        <v>20</v>
      </c>
      <c r="B15" s="3" t="s">
        <v>21</v>
      </c>
      <c r="C15" s="3" t="s">
        <v>22</v>
      </c>
      <c r="D15" s="1"/>
      <c r="E15" s="1"/>
      <c r="F15" s="1"/>
      <c r="G15" s="1"/>
      <c r="H15" s="1"/>
      <c r="I15" s="1"/>
      <c r="J15" s="1"/>
      <c r="K15" s="1"/>
      <c r="L15" s="1"/>
      <c r="M15" s="1"/>
      <c r="N15" s="1"/>
      <c r="O15" s="1"/>
      <c r="P15" s="1"/>
      <c r="Q15" s="1"/>
      <c r="R15" s="1"/>
      <c r="S15" s="1"/>
      <c r="T15" s="1"/>
      <c r="U15" s="1"/>
      <c r="V15" s="1"/>
      <c r="W15" s="1"/>
      <c r="X15" s="1"/>
      <c r="Y15" s="1"/>
      <c r="Z15" s="1"/>
    </row>
    <row r="16" spans="1:26" ht="28">
      <c r="A16" s="2" t="s">
        <v>23</v>
      </c>
      <c r="B16" s="3" t="s">
        <v>24</v>
      </c>
      <c r="C16" s="3" t="s">
        <v>25</v>
      </c>
      <c r="D16" s="1"/>
      <c r="E16" s="1"/>
      <c r="F16" s="1"/>
      <c r="G16" s="1"/>
      <c r="H16" s="1"/>
      <c r="I16" s="1"/>
      <c r="J16" s="1"/>
      <c r="K16" s="1"/>
      <c r="L16" s="1"/>
      <c r="M16" s="1"/>
      <c r="N16" s="1"/>
      <c r="O16" s="1"/>
      <c r="P16" s="1"/>
      <c r="Q16" s="1"/>
      <c r="R16" s="1"/>
      <c r="S16" s="1"/>
      <c r="T16" s="1"/>
      <c r="U16" s="1"/>
      <c r="V16" s="1"/>
      <c r="W16" s="1"/>
      <c r="X16" s="1"/>
      <c r="Y16" s="1"/>
      <c r="Z16" s="1"/>
    </row>
    <row r="17" spans="1:26" ht="42">
      <c r="A17" s="2" t="s">
        <v>26</v>
      </c>
      <c r="B17" s="3" t="s">
        <v>27</v>
      </c>
      <c r="C17" s="3" t="s">
        <v>28</v>
      </c>
      <c r="D17" s="1"/>
      <c r="E17" s="1"/>
      <c r="F17" s="1"/>
      <c r="G17" s="1"/>
      <c r="H17" s="1"/>
      <c r="I17" s="1"/>
      <c r="J17" s="1"/>
      <c r="K17" s="1"/>
      <c r="L17" s="1"/>
      <c r="M17" s="1"/>
      <c r="N17" s="1"/>
      <c r="O17" s="1"/>
      <c r="P17" s="1"/>
      <c r="Q17" s="1"/>
      <c r="R17" s="1"/>
      <c r="S17" s="1"/>
      <c r="T17" s="1"/>
      <c r="U17" s="1"/>
      <c r="V17" s="1"/>
      <c r="W17" s="1"/>
      <c r="X17" s="1"/>
      <c r="Y17" s="1"/>
      <c r="Z17" s="1"/>
    </row>
    <row r="18" spans="1:26" ht="28">
      <c r="A18" s="2" t="s">
        <v>29</v>
      </c>
      <c r="B18" s="3" t="s">
        <v>30</v>
      </c>
      <c r="C18" s="3" t="s">
        <v>31</v>
      </c>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42" t="s">
        <v>32</v>
      </c>
      <c r="B20" s="142"/>
      <c r="C20" s="142"/>
      <c r="D20" s="142"/>
      <c r="E20" s="142"/>
      <c r="F20" s="142"/>
      <c r="G20" s="142"/>
      <c r="H20" s="142"/>
      <c r="I20" s="1"/>
      <c r="J20" s="1"/>
      <c r="K20" s="1"/>
      <c r="L20" s="1"/>
      <c r="M20" s="1"/>
      <c r="N20" s="1"/>
      <c r="O20" s="1"/>
      <c r="P20" s="1"/>
      <c r="Q20" s="1"/>
      <c r="R20" s="1"/>
      <c r="S20" s="1"/>
      <c r="T20" s="1"/>
      <c r="U20" s="1"/>
      <c r="V20" s="1"/>
      <c r="W20" s="1"/>
      <c r="X20" s="1"/>
      <c r="Y20" s="1"/>
      <c r="Z20" s="1"/>
    </row>
    <row r="21" spans="1:26">
      <c r="A21" s="4" t="s">
        <v>33</v>
      </c>
      <c r="B21" s="4" t="s">
        <v>34</v>
      </c>
      <c r="C21" s="3" t="s">
        <v>35</v>
      </c>
      <c r="D21" s="1"/>
      <c r="E21" s="1"/>
      <c r="F21" s="1"/>
      <c r="G21" s="1"/>
      <c r="H21" s="1"/>
      <c r="I21" s="1"/>
      <c r="J21" s="1"/>
      <c r="K21" s="1"/>
      <c r="L21" s="1"/>
      <c r="M21" s="1"/>
      <c r="N21" s="1"/>
      <c r="O21" s="1"/>
      <c r="P21" s="1"/>
      <c r="Q21" s="1"/>
      <c r="R21" s="1"/>
      <c r="S21" s="1"/>
      <c r="T21" s="1"/>
      <c r="U21" s="1"/>
      <c r="V21" s="1"/>
      <c r="W21" s="1"/>
      <c r="X21" s="1"/>
      <c r="Y21" s="1"/>
      <c r="Z21" s="1"/>
    </row>
    <row r="22" spans="1:26" ht="28">
      <c r="A22" s="4" t="s">
        <v>36</v>
      </c>
      <c r="B22" s="4" t="s">
        <v>34</v>
      </c>
      <c r="C22" s="3" t="s">
        <v>37</v>
      </c>
      <c r="D22" s="1"/>
      <c r="E22" s="1"/>
      <c r="F22" s="1"/>
      <c r="G22" s="1"/>
      <c r="H22" s="1"/>
      <c r="I22" s="1"/>
      <c r="J22" s="1"/>
      <c r="K22" s="1"/>
      <c r="L22" s="1"/>
      <c r="M22" s="1"/>
      <c r="N22" s="1"/>
      <c r="O22" s="1"/>
      <c r="P22" s="1"/>
      <c r="Q22" s="1"/>
      <c r="R22" s="1"/>
      <c r="S22" s="1"/>
      <c r="T22" s="1"/>
      <c r="U22" s="1"/>
      <c r="V22" s="1"/>
      <c r="W22" s="1"/>
      <c r="X22" s="1"/>
      <c r="Y22" s="1"/>
      <c r="Z22" s="1"/>
    </row>
    <row r="23" spans="1:26" ht="28">
      <c r="A23" s="4" t="s">
        <v>38</v>
      </c>
      <c r="B23" s="4" t="s">
        <v>39</v>
      </c>
      <c r="C23" s="3" t="s">
        <v>40</v>
      </c>
      <c r="D23" s="1"/>
      <c r="E23" s="1"/>
      <c r="F23" s="1"/>
      <c r="G23" s="1"/>
      <c r="H23" s="1"/>
      <c r="I23" s="1"/>
      <c r="J23" s="1"/>
      <c r="K23" s="1"/>
      <c r="L23" s="1"/>
      <c r="M23" s="1"/>
      <c r="N23" s="1"/>
      <c r="O23" s="1"/>
      <c r="P23" s="1"/>
      <c r="Q23" s="1"/>
      <c r="R23" s="1"/>
      <c r="S23" s="1"/>
      <c r="T23" s="1"/>
      <c r="U23" s="1"/>
      <c r="V23" s="1"/>
      <c r="W23" s="1"/>
      <c r="X23" s="1"/>
      <c r="Y23" s="1"/>
      <c r="Z23" s="1"/>
    </row>
    <row r="24" spans="1:26" ht="28">
      <c r="A24" s="4" t="s">
        <v>41</v>
      </c>
      <c r="B24" s="4" t="s">
        <v>42</v>
      </c>
      <c r="C24" s="3" t="s">
        <v>43</v>
      </c>
      <c r="D24" s="1"/>
      <c r="E24" s="1"/>
      <c r="F24" s="1"/>
      <c r="G24" s="1"/>
      <c r="H24" s="1"/>
      <c r="I24" s="1"/>
      <c r="J24" s="1"/>
      <c r="K24" s="1"/>
      <c r="L24" s="1"/>
      <c r="M24" s="1"/>
      <c r="N24" s="1"/>
      <c r="O24" s="1"/>
      <c r="P24" s="1"/>
      <c r="Q24" s="1"/>
      <c r="R24" s="1"/>
      <c r="S24" s="1"/>
      <c r="T24" s="1"/>
      <c r="U24" s="1"/>
      <c r="V24" s="1"/>
      <c r="W24" s="1"/>
      <c r="X24" s="1"/>
      <c r="Y24" s="1"/>
      <c r="Z24" s="1"/>
    </row>
    <row r="25" spans="1:26">
      <c r="A25" s="4" t="s">
        <v>44</v>
      </c>
      <c r="B25" s="4" t="s">
        <v>34</v>
      </c>
      <c r="C25" s="3" t="s">
        <v>45</v>
      </c>
      <c r="D25" s="1"/>
      <c r="E25" s="1"/>
      <c r="F25" s="1"/>
      <c r="G25" s="1"/>
      <c r="H25" s="1"/>
      <c r="I25" s="1"/>
      <c r="J25" s="1"/>
      <c r="K25" s="1"/>
      <c r="L25" s="1"/>
      <c r="M25" s="1"/>
      <c r="N25" s="1"/>
      <c r="O25" s="1"/>
      <c r="P25" s="1"/>
      <c r="Q25" s="1"/>
      <c r="R25" s="1"/>
      <c r="S25" s="1"/>
      <c r="T25" s="1"/>
      <c r="U25" s="1"/>
      <c r="V25" s="1"/>
      <c r="W25" s="1"/>
      <c r="X25" s="1"/>
      <c r="Y25" s="1"/>
      <c r="Z25" s="1"/>
    </row>
    <row r="26" spans="1:26" ht="28">
      <c r="A26" s="4" t="s">
        <v>46</v>
      </c>
      <c r="B26" s="4" t="s">
        <v>47</v>
      </c>
      <c r="C26" s="3" t="s">
        <v>48</v>
      </c>
      <c r="D26" s="1"/>
      <c r="E26" s="1"/>
      <c r="F26" s="1"/>
      <c r="G26" s="1"/>
      <c r="H26" s="1"/>
      <c r="I26" s="1"/>
      <c r="J26" s="1"/>
      <c r="K26" s="1"/>
      <c r="L26" s="1"/>
      <c r="M26" s="1"/>
      <c r="N26" s="1"/>
      <c r="O26" s="1"/>
      <c r="P26" s="1"/>
      <c r="Q26" s="1"/>
      <c r="R26" s="1"/>
      <c r="S26" s="1"/>
      <c r="T26" s="1"/>
      <c r="U26" s="1"/>
      <c r="V26" s="1"/>
      <c r="W26" s="1"/>
      <c r="X26" s="1"/>
      <c r="Y26" s="1"/>
      <c r="Z26" s="1"/>
    </row>
    <row r="27" spans="1:26" ht="28">
      <c r="A27" s="4" t="s">
        <v>49</v>
      </c>
      <c r="B27" s="4" t="s">
        <v>34</v>
      </c>
      <c r="C27" s="3" t="s">
        <v>50</v>
      </c>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42" t="s">
        <v>51</v>
      </c>
      <c r="B29" s="142"/>
      <c r="C29" s="142"/>
      <c r="D29" s="142"/>
      <c r="E29" s="142"/>
      <c r="F29" s="142"/>
      <c r="G29" s="142"/>
      <c r="H29" s="142"/>
      <c r="I29" s="1"/>
      <c r="J29" s="1"/>
      <c r="K29" s="1"/>
      <c r="L29" s="1"/>
      <c r="M29" s="1"/>
      <c r="N29" s="1"/>
      <c r="O29" s="1"/>
      <c r="P29" s="1"/>
      <c r="Q29" s="1"/>
      <c r="R29" s="1"/>
      <c r="S29" s="1"/>
      <c r="T29" s="1"/>
      <c r="U29" s="1"/>
      <c r="V29" s="1"/>
      <c r="W29" s="1"/>
      <c r="X29" s="1"/>
      <c r="Y29" s="1"/>
      <c r="Z29" s="1"/>
    </row>
    <row r="30" spans="1:26">
      <c r="A30" s="143" t="s">
        <v>52</v>
      </c>
      <c r="B30" s="143"/>
      <c r="C30" s="143"/>
      <c r="D30" s="143"/>
      <c r="E30" s="143"/>
      <c r="F30" s="143"/>
      <c r="G30" s="143"/>
      <c r="H30" s="143"/>
      <c r="I30" s="1"/>
      <c r="J30" s="1"/>
      <c r="K30" s="1"/>
      <c r="L30" s="1"/>
      <c r="M30" s="1"/>
      <c r="N30" s="1"/>
      <c r="O30" s="1"/>
      <c r="P30" s="1"/>
      <c r="Q30" s="1"/>
      <c r="R30" s="1"/>
      <c r="S30" s="1"/>
      <c r="T30" s="1"/>
      <c r="U30" s="1"/>
      <c r="V30" s="1"/>
      <c r="W30" s="1"/>
      <c r="X30" s="1"/>
      <c r="Y30" s="1"/>
      <c r="Z30" s="1"/>
    </row>
    <row r="31" spans="1:26">
      <c r="A31" s="143"/>
      <c r="B31" s="143"/>
      <c r="C31" s="143"/>
      <c r="D31" s="143"/>
      <c r="E31" s="143"/>
      <c r="F31" s="143"/>
      <c r="G31" s="143"/>
      <c r="H31" s="143"/>
      <c r="I31" s="1"/>
      <c r="J31" s="1"/>
      <c r="K31" s="1"/>
      <c r="L31" s="1"/>
      <c r="M31" s="1"/>
      <c r="N31" s="1"/>
      <c r="O31" s="1"/>
      <c r="P31" s="1"/>
      <c r="Q31" s="1"/>
      <c r="R31" s="1"/>
      <c r="S31" s="1"/>
      <c r="T31" s="1"/>
      <c r="U31" s="1"/>
      <c r="V31" s="1"/>
      <c r="W31" s="1"/>
      <c r="X31" s="1"/>
      <c r="Y31" s="1"/>
      <c r="Z31" s="1"/>
    </row>
    <row r="32" spans="1:26">
      <c r="A32" s="143"/>
      <c r="B32" s="143"/>
      <c r="C32" s="143"/>
      <c r="D32" s="143"/>
      <c r="E32" s="143"/>
      <c r="F32" s="143"/>
      <c r="G32" s="143"/>
      <c r="H32" s="143"/>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7">
    <mergeCell ref="A29:H29"/>
    <mergeCell ref="A30:H32"/>
    <mergeCell ref="A1:H1"/>
    <mergeCell ref="A2:H2"/>
    <mergeCell ref="A4:H4"/>
    <mergeCell ref="A14:H14"/>
    <mergeCell ref="A20:H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0"/>
  <sheetViews>
    <sheetView workbookViewId="0"/>
  </sheetViews>
  <sheetFormatPr defaultRowHeight="14"/>
  <cols>
    <col min="1" max="1" width="34" customWidth="1"/>
    <col min="2" max="2" width="14" customWidth="1"/>
    <col min="3" max="3" width="42" customWidth="1"/>
    <col min="4" max="14" width="13" customWidth="1"/>
    <col min="15" max="25" width="10" customWidth="1"/>
    <col min="26" max="26" width="48" customWidth="1"/>
  </cols>
  <sheetData>
    <row r="1" spans="1:26" ht="18.649999999999999" customHeight="1">
      <c r="A1" s="140" t="s">
        <v>53</v>
      </c>
      <c r="B1" s="140"/>
      <c r="C1" s="140"/>
      <c r="D1" s="140"/>
      <c r="E1" s="140"/>
      <c r="F1" s="140"/>
      <c r="G1" s="140"/>
      <c r="H1" s="140"/>
      <c r="I1" s="140"/>
      <c r="J1" s="140"/>
      <c r="K1" s="140"/>
      <c r="L1" s="140"/>
      <c r="M1" s="140"/>
      <c r="N1" s="140"/>
      <c r="O1" s="140"/>
      <c r="P1" s="140"/>
      <c r="Q1" s="140"/>
      <c r="R1" s="140"/>
      <c r="S1" s="140"/>
      <c r="T1" s="140"/>
      <c r="U1" s="140"/>
      <c r="V1" s="140"/>
      <c r="W1" s="140"/>
      <c r="X1" s="140"/>
      <c r="Y1" s="140"/>
      <c r="Z1" s="140"/>
    </row>
    <row r="2" spans="1:26" ht="21.4" customHeight="1">
      <c r="A2" s="141" t="s">
        <v>54</v>
      </c>
      <c r="B2" s="141"/>
      <c r="C2" s="141"/>
      <c r="D2" s="141"/>
      <c r="E2" s="141"/>
      <c r="F2" s="141"/>
      <c r="G2" s="141"/>
      <c r="H2" s="141"/>
      <c r="I2" s="141"/>
      <c r="J2" s="141"/>
      <c r="K2" s="141"/>
      <c r="L2" s="141"/>
      <c r="M2" s="141"/>
      <c r="N2" s="141"/>
      <c r="O2" s="141"/>
      <c r="P2" s="141"/>
      <c r="Q2" s="141"/>
      <c r="R2" s="141"/>
      <c r="S2" s="141"/>
      <c r="T2" s="141"/>
      <c r="U2" s="141"/>
      <c r="V2" s="141"/>
      <c r="W2" s="141"/>
      <c r="X2" s="141"/>
      <c r="Y2" s="141"/>
      <c r="Z2" s="141"/>
    </row>
    <row r="3" spans="1:26">
      <c r="A3" s="144" t="s">
        <v>55</v>
      </c>
      <c r="B3" s="144"/>
      <c r="C3" s="144"/>
      <c r="D3" s="144" t="s">
        <v>56</v>
      </c>
      <c r="E3" s="144"/>
      <c r="F3" s="144"/>
      <c r="G3" s="144"/>
      <c r="H3" s="144"/>
      <c r="I3" s="144"/>
      <c r="J3" s="144"/>
      <c r="K3" s="144"/>
      <c r="L3" s="144"/>
      <c r="M3" s="144"/>
      <c r="N3" s="144"/>
      <c r="O3" s="144" t="s">
        <v>57</v>
      </c>
      <c r="P3" s="144"/>
      <c r="Q3" s="144"/>
      <c r="R3" s="144"/>
      <c r="S3" s="144"/>
      <c r="T3" s="144"/>
      <c r="U3" s="144"/>
      <c r="V3" s="144"/>
      <c r="W3" s="144"/>
      <c r="X3" s="144"/>
      <c r="Y3" s="144"/>
      <c r="Z3" s="5" t="s">
        <v>58</v>
      </c>
    </row>
    <row r="4" spans="1:26">
      <c r="A4" s="6" t="s">
        <v>59</v>
      </c>
      <c r="B4" s="6" t="s">
        <v>60</v>
      </c>
      <c r="C4" s="6" t="s">
        <v>61</v>
      </c>
      <c r="D4" s="6" t="s">
        <v>62</v>
      </c>
      <c r="E4" s="6" t="s">
        <v>63</v>
      </c>
      <c r="F4" s="6" t="s">
        <v>64</v>
      </c>
      <c r="G4" s="6" t="s">
        <v>65</v>
      </c>
      <c r="H4" s="6" t="s">
        <v>66</v>
      </c>
      <c r="I4" s="6" t="s">
        <v>67</v>
      </c>
      <c r="J4" s="6" t="s">
        <v>68</v>
      </c>
      <c r="K4" s="6" t="s">
        <v>69</v>
      </c>
      <c r="L4" s="6" t="s">
        <v>70</v>
      </c>
      <c r="M4" s="6" t="s">
        <v>71</v>
      </c>
      <c r="N4" s="6" t="s">
        <v>72</v>
      </c>
      <c r="O4" s="6" t="s">
        <v>62</v>
      </c>
      <c r="P4" s="6" t="s">
        <v>63</v>
      </c>
      <c r="Q4" s="6" t="s">
        <v>64</v>
      </c>
      <c r="R4" s="6" t="s">
        <v>65</v>
      </c>
      <c r="S4" s="6" t="s">
        <v>66</v>
      </c>
      <c r="T4" s="6" t="s">
        <v>67</v>
      </c>
      <c r="U4" s="6" t="s">
        <v>68</v>
      </c>
      <c r="V4" s="6" t="s">
        <v>69</v>
      </c>
      <c r="W4" s="6" t="s">
        <v>70</v>
      </c>
      <c r="X4" s="6" t="s">
        <v>71</v>
      </c>
      <c r="Y4" s="6" t="s">
        <v>72</v>
      </c>
      <c r="Z4" s="6" t="s">
        <v>58</v>
      </c>
    </row>
    <row r="5" spans="1:26" ht="13.4" customHeight="1">
      <c r="A5" s="145" t="s">
        <v>73</v>
      </c>
      <c r="B5" s="145"/>
      <c r="C5" s="145"/>
      <c r="D5" s="145"/>
      <c r="E5" s="145"/>
      <c r="F5" s="145"/>
      <c r="G5" s="145"/>
      <c r="H5" s="145"/>
      <c r="I5" s="145"/>
      <c r="J5" s="145"/>
      <c r="K5" s="145"/>
      <c r="L5" s="145"/>
      <c r="M5" s="145"/>
      <c r="N5" s="145"/>
      <c r="O5" s="145"/>
      <c r="P5" s="145"/>
      <c r="Q5" s="145"/>
      <c r="R5" s="145"/>
      <c r="S5" s="145"/>
      <c r="T5" s="145"/>
      <c r="U5" s="145"/>
      <c r="V5" s="145"/>
      <c r="W5" s="145"/>
      <c r="X5" s="145"/>
      <c r="Y5" s="145"/>
      <c r="Z5" s="145"/>
    </row>
    <row r="6" spans="1:26" ht="23">
      <c r="A6" s="3" t="s">
        <v>74</v>
      </c>
      <c r="B6" s="3" t="s">
        <v>75</v>
      </c>
      <c r="C6" s="3" t="s">
        <v>76</v>
      </c>
      <c r="D6" s="7">
        <v>1614897</v>
      </c>
      <c r="E6" s="7">
        <v>1732473</v>
      </c>
      <c r="F6" s="7">
        <v>2117167</v>
      </c>
      <c r="G6" s="7">
        <v>2163625</v>
      </c>
      <c r="H6" s="7">
        <v>2266808</v>
      </c>
      <c r="I6" s="7">
        <v>2318658</v>
      </c>
      <c r="J6" s="7">
        <v>2551906</v>
      </c>
      <c r="K6" s="7">
        <v>3490182</v>
      </c>
      <c r="L6" s="7">
        <v>4367387</v>
      </c>
      <c r="M6" s="7">
        <v>4638721</v>
      </c>
      <c r="N6" s="7">
        <v>5004600</v>
      </c>
      <c r="O6" s="8" t="s">
        <v>77</v>
      </c>
      <c r="P6" s="8" t="s">
        <v>78</v>
      </c>
      <c r="Q6" s="8" t="s">
        <v>78</v>
      </c>
      <c r="R6" s="8" t="s">
        <v>79</v>
      </c>
      <c r="S6" s="8" t="s">
        <v>80</v>
      </c>
      <c r="T6" s="8" t="s">
        <v>81</v>
      </c>
      <c r="U6" s="8" t="s">
        <v>82</v>
      </c>
      <c r="V6" s="8" t="s">
        <v>83</v>
      </c>
      <c r="W6" s="8" t="s">
        <v>84</v>
      </c>
      <c r="X6" s="8" t="s">
        <v>85</v>
      </c>
      <c r="Y6" s="8" t="s">
        <v>86</v>
      </c>
      <c r="Z6" s="9" t="s">
        <v>87</v>
      </c>
    </row>
    <row r="7" spans="1:26">
      <c r="A7" s="3" t="s">
        <v>88</v>
      </c>
      <c r="B7" s="3" t="s">
        <v>75</v>
      </c>
      <c r="C7" s="3" t="s">
        <v>89</v>
      </c>
      <c r="D7" s="7">
        <v>1216795</v>
      </c>
      <c r="E7" s="7">
        <v>1293600</v>
      </c>
      <c r="F7" s="7">
        <v>1592745</v>
      </c>
      <c r="G7" s="7">
        <v>1618636</v>
      </c>
      <c r="H7" s="7">
        <v>1694577</v>
      </c>
      <c r="I7" s="7">
        <v>1734083</v>
      </c>
      <c r="J7" s="7">
        <v>1875904</v>
      </c>
      <c r="K7" s="7">
        <v>2567948</v>
      </c>
      <c r="L7" s="7">
        <v>3172421</v>
      </c>
      <c r="M7" s="7">
        <v>3351333</v>
      </c>
      <c r="N7" s="7">
        <v>3522200</v>
      </c>
      <c r="O7" s="8" t="s">
        <v>77</v>
      </c>
      <c r="P7" s="8" t="s">
        <v>78</v>
      </c>
      <c r="Q7" s="8" t="s">
        <v>78</v>
      </c>
      <c r="R7" s="8" t="s">
        <v>79</v>
      </c>
      <c r="S7" s="8" t="s">
        <v>80</v>
      </c>
      <c r="T7" s="8" t="s">
        <v>81</v>
      </c>
      <c r="U7" s="8" t="s">
        <v>82</v>
      </c>
      <c r="V7" s="8" t="s">
        <v>83</v>
      </c>
      <c r="W7" s="8" t="s">
        <v>84</v>
      </c>
      <c r="X7" s="8" t="s">
        <v>85</v>
      </c>
      <c r="Y7" s="8" t="s">
        <v>86</v>
      </c>
      <c r="Z7" s="9" t="s">
        <v>90</v>
      </c>
    </row>
    <row r="8" spans="1:26">
      <c r="A8" s="3" t="s">
        <v>91</v>
      </c>
      <c r="B8" s="3" t="s">
        <v>75</v>
      </c>
      <c r="C8" s="3" t="s">
        <v>92</v>
      </c>
      <c r="D8" s="7">
        <v>398101</v>
      </c>
      <c r="E8" s="7">
        <v>438872</v>
      </c>
      <c r="F8" s="7">
        <v>524421</v>
      </c>
      <c r="G8" s="7">
        <v>544988</v>
      </c>
      <c r="H8" s="7">
        <v>572231</v>
      </c>
      <c r="I8" s="7">
        <v>584575</v>
      </c>
      <c r="J8" s="7">
        <v>676002</v>
      </c>
      <c r="K8" s="7">
        <v>922234</v>
      </c>
      <c r="L8" s="7">
        <v>1194966</v>
      </c>
      <c r="M8" s="7">
        <v>1287388</v>
      </c>
      <c r="N8" s="7">
        <v>1482500</v>
      </c>
      <c r="O8" s="8" t="s">
        <v>77</v>
      </c>
      <c r="P8" s="8" t="s">
        <v>78</v>
      </c>
      <c r="Q8" s="8" t="s">
        <v>78</v>
      </c>
      <c r="R8" s="8" t="s">
        <v>79</v>
      </c>
      <c r="S8" s="8" t="s">
        <v>80</v>
      </c>
      <c r="T8" s="8" t="s">
        <v>81</v>
      </c>
      <c r="U8" s="8" t="s">
        <v>82</v>
      </c>
      <c r="V8" s="8" t="s">
        <v>83</v>
      </c>
      <c r="W8" s="8" t="s">
        <v>84</v>
      </c>
      <c r="X8" s="8" t="s">
        <v>85</v>
      </c>
      <c r="Y8" s="8" t="s">
        <v>86</v>
      </c>
      <c r="Z8" s="9" t="s">
        <v>90</v>
      </c>
    </row>
    <row r="9" spans="1:26" ht="28">
      <c r="A9" s="3" t="s">
        <v>93</v>
      </c>
      <c r="B9" s="3" t="s">
        <v>75</v>
      </c>
      <c r="C9" s="3" t="s">
        <v>94</v>
      </c>
      <c r="D9" s="7">
        <v>297216</v>
      </c>
      <c r="E9" s="7">
        <v>321763</v>
      </c>
      <c r="F9" s="7">
        <v>400899</v>
      </c>
      <c r="G9" s="7">
        <v>397272</v>
      </c>
      <c r="H9" s="7">
        <v>441294</v>
      </c>
      <c r="I9" s="7">
        <v>445402</v>
      </c>
      <c r="J9" s="7">
        <v>463411</v>
      </c>
      <c r="K9" s="7">
        <v>663124</v>
      </c>
      <c r="L9" s="7">
        <v>885416</v>
      </c>
      <c r="M9" s="7">
        <v>963525</v>
      </c>
      <c r="N9" s="7">
        <v>994200</v>
      </c>
      <c r="O9" s="8" t="s">
        <v>77</v>
      </c>
      <c r="P9" s="8" t="s">
        <v>78</v>
      </c>
      <c r="Q9" s="8" t="s">
        <v>78</v>
      </c>
      <c r="R9" s="8" t="s">
        <v>79</v>
      </c>
      <c r="S9" s="8" t="s">
        <v>80</v>
      </c>
      <c r="T9" s="8" t="s">
        <v>81</v>
      </c>
      <c r="U9" s="8" t="s">
        <v>82</v>
      </c>
      <c r="V9" s="8" t="s">
        <v>83</v>
      </c>
      <c r="W9" s="8" t="s">
        <v>84</v>
      </c>
      <c r="X9" s="8" t="s">
        <v>85</v>
      </c>
      <c r="Y9" s="8" t="s">
        <v>86</v>
      </c>
      <c r="Z9" s="9" t="s">
        <v>90</v>
      </c>
    </row>
    <row r="10" spans="1:26" ht="28">
      <c r="A10" s="3" t="s">
        <v>95</v>
      </c>
      <c r="B10" s="3" t="s">
        <v>75</v>
      </c>
      <c r="C10" s="3" t="s">
        <v>96</v>
      </c>
      <c r="D10" s="7">
        <v>100885</v>
      </c>
      <c r="E10" s="7">
        <v>117109</v>
      </c>
      <c r="F10" s="7">
        <v>123522</v>
      </c>
      <c r="G10" s="7">
        <v>147716</v>
      </c>
      <c r="H10" s="7">
        <v>130937</v>
      </c>
      <c r="I10" s="7">
        <v>139173</v>
      </c>
      <c r="J10" s="7">
        <v>212590</v>
      </c>
      <c r="K10" s="7">
        <v>259110</v>
      </c>
      <c r="L10" s="7">
        <v>309551</v>
      </c>
      <c r="M10" s="7">
        <v>323862</v>
      </c>
      <c r="N10" s="7">
        <v>488200</v>
      </c>
      <c r="O10" s="8" t="s">
        <v>77</v>
      </c>
      <c r="P10" s="8" t="s">
        <v>78</v>
      </c>
      <c r="Q10" s="8" t="s">
        <v>78</v>
      </c>
      <c r="R10" s="8" t="s">
        <v>79</v>
      </c>
      <c r="S10" s="8" t="s">
        <v>80</v>
      </c>
      <c r="T10" s="8" t="s">
        <v>81</v>
      </c>
      <c r="U10" s="8" t="s">
        <v>82</v>
      </c>
      <c r="V10" s="8" t="s">
        <v>83</v>
      </c>
      <c r="W10" s="8" t="s">
        <v>84</v>
      </c>
      <c r="X10" s="8" t="s">
        <v>85</v>
      </c>
      <c r="Y10" s="8" t="s">
        <v>86</v>
      </c>
      <c r="Z10" s="9" t="s">
        <v>97</v>
      </c>
    </row>
    <row r="11" spans="1:26" ht="28">
      <c r="A11" s="3" t="s">
        <v>98</v>
      </c>
      <c r="B11" s="3" t="s">
        <v>75</v>
      </c>
      <c r="C11" s="3" t="s">
        <v>99</v>
      </c>
      <c r="D11" s="7">
        <v>272162</v>
      </c>
      <c r="E11" s="7">
        <v>297199</v>
      </c>
      <c r="F11" s="7">
        <v>313706</v>
      </c>
      <c r="G11" s="7">
        <v>308400</v>
      </c>
      <c r="H11" s="7">
        <v>295700</v>
      </c>
      <c r="I11" s="7">
        <v>320300</v>
      </c>
      <c r="J11" s="7">
        <v>394900</v>
      </c>
      <c r="K11" s="7">
        <v>482200</v>
      </c>
      <c r="L11" s="7">
        <v>591400</v>
      </c>
      <c r="M11" s="7">
        <v>622500</v>
      </c>
      <c r="N11" s="7">
        <v>803700</v>
      </c>
      <c r="O11" s="8" t="s">
        <v>78</v>
      </c>
      <c r="P11" s="8" t="s">
        <v>78</v>
      </c>
      <c r="Q11" s="8" t="s">
        <v>78</v>
      </c>
      <c r="R11" s="8" t="s">
        <v>100</v>
      </c>
      <c r="S11" s="8" t="s">
        <v>100</v>
      </c>
      <c r="T11" s="8" t="s">
        <v>100</v>
      </c>
      <c r="U11" s="8" t="s">
        <v>100</v>
      </c>
      <c r="V11" s="8" t="s">
        <v>100</v>
      </c>
      <c r="W11" s="8" t="s">
        <v>100</v>
      </c>
      <c r="X11" s="8" t="s">
        <v>86</v>
      </c>
      <c r="Y11" s="8" t="s">
        <v>86</v>
      </c>
      <c r="Z11" s="9" t="s">
        <v>101</v>
      </c>
    </row>
    <row r="12" spans="1:26" ht="28">
      <c r="A12" s="3" t="s">
        <v>102</v>
      </c>
      <c r="B12" s="3" t="s">
        <v>75</v>
      </c>
      <c r="C12" s="3" t="s">
        <v>103</v>
      </c>
      <c r="D12" s="7">
        <v>107789</v>
      </c>
      <c r="E12" s="7">
        <v>105332</v>
      </c>
      <c r="F12" s="7">
        <v>100083</v>
      </c>
      <c r="G12" s="7">
        <v>146914</v>
      </c>
      <c r="H12" s="7">
        <v>120155</v>
      </c>
      <c r="I12" s="7">
        <v>130452</v>
      </c>
      <c r="J12" s="7">
        <v>215849</v>
      </c>
      <c r="K12" s="7">
        <v>242800</v>
      </c>
      <c r="L12" s="7">
        <v>248602</v>
      </c>
      <c r="M12" s="7">
        <v>249006</v>
      </c>
      <c r="N12" s="7">
        <v>406500</v>
      </c>
      <c r="O12" s="8" t="s">
        <v>77</v>
      </c>
      <c r="P12" s="8" t="s">
        <v>78</v>
      </c>
      <c r="Q12" s="8" t="s">
        <v>78</v>
      </c>
      <c r="R12" s="8" t="s">
        <v>79</v>
      </c>
      <c r="S12" s="8" t="s">
        <v>80</v>
      </c>
      <c r="T12" s="8" t="s">
        <v>81</v>
      </c>
      <c r="U12" s="8" t="s">
        <v>82</v>
      </c>
      <c r="V12" s="8" t="s">
        <v>83</v>
      </c>
      <c r="W12" s="8" t="s">
        <v>84</v>
      </c>
      <c r="X12" s="8" t="s">
        <v>85</v>
      </c>
      <c r="Y12" s="8" t="s">
        <v>86</v>
      </c>
      <c r="Z12" s="9" t="s">
        <v>90</v>
      </c>
    </row>
    <row r="13" spans="1:26">
      <c r="A13" s="3" t="s">
        <v>104</v>
      </c>
      <c r="B13" s="3" t="s">
        <v>75</v>
      </c>
      <c r="C13" s="3" t="s">
        <v>105</v>
      </c>
      <c r="D13" s="7">
        <v>42354</v>
      </c>
      <c r="E13" s="7">
        <v>36820</v>
      </c>
      <c r="F13" s="7">
        <v>38716</v>
      </c>
      <c r="G13" s="7">
        <v>49210</v>
      </c>
      <c r="H13" s="7">
        <v>40383</v>
      </c>
      <c r="I13" s="7">
        <v>48751</v>
      </c>
      <c r="J13" s="7">
        <v>65747</v>
      </c>
      <c r="K13" s="7">
        <v>75929</v>
      </c>
      <c r="L13" s="7">
        <v>103062</v>
      </c>
      <c r="M13" s="7">
        <v>109746</v>
      </c>
      <c r="N13" s="7">
        <v>141400</v>
      </c>
      <c r="O13" s="8" t="s">
        <v>77</v>
      </c>
      <c r="P13" s="8" t="s">
        <v>78</v>
      </c>
      <c r="Q13" s="8" t="s">
        <v>78</v>
      </c>
      <c r="R13" s="8" t="s">
        <v>79</v>
      </c>
      <c r="S13" s="8" t="s">
        <v>80</v>
      </c>
      <c r="T13" s="8" t="s">
        <v>81</v>
      </c>
      <c r="U13" s="8" t="s">
        <v>82</v>
      </c>
      <c r="V13" s="8" t="s">
        <v>83</v>
      </c>
      <c r="W13" s="8" t="s">
        <v>84</v>
      </c>
      <c r="X13" s="8" t="s">
        <v>85</v>
      </c>
      <c r="Y13" s="8" t="s">
        <v>86</v>
      </c>
      <c r="Z13" s="9" t="s">
        <v>90</v>
      </c>
    </row>
    <row r="14" spans="1:26">
      <c r="A14" s="3" t="s">
        <v>106</v>
      </c>
      <c r="B14" s="3" t="s">
        <v>75</v>
      </c>
      <c r="C14" s="3" t="s">
        <v>107</v>
      </c>
      <c r="D14" s="7">
        <v>65434</v>
      </c>
      <c r="E14" s="7">
        <v>68512</v>
      </c>
      <c r="F14" s="7">
        <v>61367</v>
      </c>
      <c r="G14" s="7">
        <v>97704</v>
      </c>
      <c r="H14" s="7">
        <v>79772</v>
      </c>
      <c r="I14" s="7">
        <v>81701</v>
      </c>
      <c r="J14" s="7">
        <v>150102</v>
      </c>
      <c r="K14" s="7">
        <v>166871</v>
      </c>
      <c r="L14" s="7">
        <v>145541</v>
      </c>
      <c r="M14" s="7">
        <v>139260</v>
      </c>
      <c r="N14" s="7">
        <v>265100</v>
      </c>
      <c r="O14" s="8" t="s">
        <v>77</v>
      </c>
      <c r="P14" s="8" t="s">
        <v>78</v>
      </c>
      <c r="Q14" s="8" t="s">
        <v>78</v>
      </c>
      <c r="R14" s="8" t="s">
        <v>79</v>
      </c>
      <c r="S14" s="8" t="s">
        <v>80</v>
      </c>
      <c r="T14" s="8" t="s">
        <v>81</v>
      </c>
      <c r="U14" s="8" t="s">
        <v>82</v>
      </c>
      <c r="V14" s="8" t="s">
        <v>83</v>
      </c>
      <c r="W14" s="8" t="s">
        <v>84</v>
      </c>
      <c r="X14" s="8" t="s">
        <v>85</v>
      </c>
      <c r="Y14" s="8" t="s">
        <v>86</v>
      </c>
      <c r="Z14" s="9" t="s">
        <v>90</v>
      </c>
    </row>
    <row r="15" spans="1:26" ht="28">
      <c r="A15" s="3" t="s">
        <v>108</v>
      </c>
      <c r="B15" s="3" t="s">
        <v>75</v>
      </c>
      <c r="C15" s="3" t="s">
        <v>109</v>
      </c>
      <c r="D15" s="7">
        <v>63373</v>
      </c>
      <c r="E15" s="7">
        <v>65686</v>
      </c>
      <c r="F15" s="7">
        <v>58173</v>
      </c>
      <c r="G15" s="7">
        <v>93616</v>
      </c>
      <c r="H15" s="7">
        <v>75148</v>
      </c>
      <c r="I15" s="7">
        <v>76843</v>
      </c>
      <c r="J15" s="7">
        <v>142979</v>
      </c>
      <c r="K15" s="7">
        <v>149962</v>
      </c>
      <c r="L15" s="7">
        <v>133869</v>
      </c>
      <c r="M15" s="7">
        <v>142454</v>
      </c>
      <c r="N15" s="7">
        <v>201400</v>
      </c>
      <c r="O15" s="8" t="s">
        <v>77</v>
      </c>
      <c r="P15" s="8" t="s">
        <v>78</v>
      </c>
      <c r="Q15" s="8" t="s">
        <v>78</v>
      </c>
      <c r="R15" s="8" t="s">
        <v>79</v>
      </c>
      <c r="S15" s="8" t="s">
        <v>80</v>
      </c>
      <c r="T15" s="8" t="s">
        <v>81</v>
      </c>
      <c r="U15" s="8" t="s">
        <v>82</v>
      </c>
      <c r="V15" s="8" t="s">
        <v>83</v>
      </c>
      <c r="W15" s="8" t="s">
        <v>84</v>
      </c>
      <c r="X15" s="8" t="s">
        <v>85</v>
      </c>
      <c r="Y15" s="8" t="s">
        <v>86</v>
      </c>
      <c r="Z15" s="9" t="s">
        <v>90</v>
      </c>
    </row>
    <row r="16" spans="1:26" ht="28">
      <c r="A16" s="3" t="s">
        <v>110</v>
      </c>
      <c r="B16" s="3" t="s">
        <v>75</v>
      </c>
      <c r="C16" s="3" t="s">
        <v>111</v>
      </c>
      <c r="D16" s="7">
        <v>1256</v>
      </c>
      <c r="E16" s="7">
        <v>1507</v>
      </c>
      <c r="F16" s="7">
        <v>2209</v>
      </c>
      <c r="G16" s="7">
        <v>6848</v>
      </c>
      <c r="H16" s="7">
        <v>6026</v>
      </c>
      <c r="I16" s="7">
        <v>6661</v>
      </c>
      <c r="J16" s="7">
        <v>9665</v>
      </c>
      <c r="K16" s="7">
        <v>16388</v>
      </c>
      <c r="L16" s="7">
        <v>26847</v>
      </c>
      <c r="M16" s="7">
        <v>29586</v>
      </c>
      <c r="N16" s="7" t="s">
        <v>112</v>
      </c>
      <c r="O16" s="8" t="s">
        <v>77</v>
      </c>
      <c r="P16" s="8" t="s">
        <v>78</v>
      </c>
      <c r="Q16" s="8" t="s">
        <v>78</v>
      </c>
      <c r="R16" s="8" t="s">
        <v>79</v>
      </c>
      <c r="S16" s="8" t="s">
        <v>80</v>
      </c>
      <c r="T16" s="8" t="s">
        <v>81</v>
      </c>
      <c r="U16" s="8" t="s">
        <v>82</v>
      </c>
      <c r="V16" s="8" t="s">
        <v>83</v>
      </c>
      <c r="W16" s="8" t="s">
        <v>84</v>
      </c>
      <c r="X16" s="8" t="s">
        <v>85</v>
      </c>
      <c r="Y16" s="8"/>
      <c r="Z16" s="9" t="s">
        <v>113</v>
      </c>
    </row>
    <row r="17" spans="1:26" ht="28">
      <c r="A17" s="3" t="s">
        <v>114</v>
      </c>
      <c r="B17" s="3" t="s">
        <v>75</v>
      </c>
      <c r="C17" s="3" t="s">
        <v>115</v>
      </c>
      <c r="D17" s="7">
        <v>5492</v>
      </c>
      <c r="E17" s="7">
        <v>5372</v>
      </c>
      <c r="F17" s="7">
        <v>6051</v>
      </c>
      <c r="G17" s="7">
        <v>7825</v>
      </c>
      <c r="H17" s="7">
        <v>17117</v>
      </c>
      <c r="I17" s="7">
        <v>9083</v>
      </c>
      <c r="J17" s="7">
        <v>6201</v>
      </c>
      <c r="K17" s="7">
        <v>33102</v>
      </c>
      <c r="L17" s="7">
        <v>88100</v>
      </c>
      <c r="M17" s="7">
        <v>105838</v>
      </c>
      <c r="N17" s="7" t="s">
        <v>112</v>
      </c>
      <c r="O17" s="8" t="s">
        <v>77</v>
      </c>
      <c r="P17" s="8" t="s">
        <v>78</v>
      </c>
      <c r="Q17" s="8" t="s">
        <v>78</v>
      </c>
      <c r="R17" s="8" t="s">
        <v>79</v>
      </c>
      <c r="S17" s="8" t="s">
        <v>80</v>
      </c>
      <c r="T17" s="8" t="s">
        <v>81</v>
      </c>
      <c r="U17" s="8" t="s">
        <v>82</v>
      </c>
      <c r="V17" s="8" t="s">
        <v>83</v>
      </c>
      <c r="W17" s="8" t="s">
        <v>84</v>
      </c>
      <c r="X17" s="8" t="s">
        <v>85</v>
      </c>
      <c r="Y17" s="8"/>
      <c r="Z17" s="9" t="s">
        <v>116</v>
      </c>
    </row>
    <row r="18" spans="1:26" ht="28">
      <c r="A18" s="3" t="s">
        <v>117</v>
      </c>
      <c r="B18" s="3" t="s">
        <v>75</v>
      </c>
      <c r="C18" s="3" t="s">
        <v>118</v>
      </c>
      <c r="D18" s="7" t="s">
        <v>112</v>
      </c>
      <c r="E18" s="7" t="s">
        <v>112</v>
      </c>
      <c r="F18" s="7" t="s">
        <v>112</v>
      </c>
      <c r="G18" s="7" t="s">
        <v>112</v>
      </c>
      <c r="H18" s="7" t="s">
        <v>112</v>
      </c>
      <c r="I18" s="7" t="s">
        <v>112</v>
      </c>
      <c r="J18" s="7" t="s">
        <v>112</v>
      </c>
      <c r="K18" s="7" t="s">
        <v>112</v>
      </c>
      <c r="L18" s="7" t="s">
        <v>112</v>
      </c>
      <c r="M18" s="7" t="s">
        <v>112</v>
      </c>
      <c r="N18" s="7">
        <v>-81700</v>
      </c>
      <c r="O18" s="8"/>
      <c r="P18" s="8"/>
      <c r="Q18" s="8"/>
      <c r="R18" s="8"/>
      <c r="S18" s="8"/>
      <c r="T18" s="8"/>
      <c r="U18" s="8"/>
      <c r="V18" s="8"/>
      <c r="W18" s="8"/>
      <c r="X18" s="8"/>
      <c r="Y18" s="8" t="s">
        <v>86</v>
      </c>
      <c r="Z18" s="9" t="s">
        <v>119</v>
      </c>
    </row>
    <row r="19" spans="1:26" ht="13.4" customHeight="1">
      <c r="A19" s="145" t="s">
        <v>120</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spans="1:26" ht="42">
      <c r="A20" s="3" t="s">
        <v>121</v>
      </c>
      <c r="B20" s="3" t="s">
        <v>75</v>
      </c>
      <c r="C20" s="3" t="s">
        <v>122</v>
      </c>
      <c r="D20" s="7">
        <v>233553</v>
      </c>
      <c r="E20" s="7">
        <v>260038</v>
      </c>
      <c r="F20" s="7">
        <v>190070</v>
      </c>
      <c r="G20" s="7">
        <v>251309</v>
      </c>
      <c r="H20" s="7">
        <v>205356</v>
      </c>
      <c r="I20" s="7">
        <v>287058</v>
      </c>
      <c r="J20" s="7">
        <v>246941</v>
      </c>
      <c r="K20" s="7">
        <v>415359</v>
      </c>
      <c r="L20" s="7">
        <v>431774</v>
      </c>
      <c r="M20" s="7">
        <v>444635</v>
      </c>
      <c r="N20" s="7">
        <v>384900</v>
      </c>
      <c r="O20" s="8" t="s">
        <v>77</v>
      </c>
      <c r="P20" s="8" t="s">
        <v>78</v>
      </c>
      <c r="Q20" s="8" t="s">
        <v>78</v>
      </c>
      <c r="R20" s="8" t="s">
        <v>79</v>
      </c>
      <c r="S20" s="8" t="s">
        <v>80</v>
      </c>
      <c r="T20" s="8" t="s">
        <v>81</v>
      </c>
      <c r="U20" s="8" t="s">
        <v>82</v>
      </c>
      <c r="V20" s="8" t="s">
        <v>83</v>
      </c>
      <c r="W20" s="8" t="s">
        <v>84</v>
      </c>
      <c r="X20" s="8" t="s">
        <v>85</v>
      </c>
      <c r="Y20" s="8" t="s">
        <v>86</v>
      </c>
      <c r="Z20" s="9" t="s">
        <v>123</v>
      </c>
    </row>
    <row r="21" spans="1:26" ht="28">
      <c r="A21" s="3" t="s">
        <v>124</v>
      </c>
      <c r="B21" s="3" t="s">
        <v>75</v>
      </c>
      <c r="C21" s="3" t="s">
        <v>125</v>
      </c>
      <c r="D21" s="7">
        <v>148495</v>
      </c>
      <c r="E21" s="7">
        <v>212459</v>
      </c>
      <c r="F21" s="7">
        <v>186616</v>
      </c>
      <c r="G21" s="7" t="s">
        <v>112</v>
      </c>
      <c r="H21" s="7" t="s">
        <v>112</v>
      </c>
      <c r="I21" s="7" t="s">
        <v>112</v>
      </c>
      <c r="J21" s="7" t="s">
        <v>112</v>
      </c>
      <c r="K21" s="7" t="s">
        <v>112</v>
      </c>
      <c r="L21" s="7" t="s">
        <v>112</v>
      </c>
      <c r="M21" s="7" t="s">
        <v>112</v>
      </c>
      <c r="N21" s="7" t="s">
        <v>112</v>
      </c>
      <c r="O21" s="8" t="s">
        <v>77</v>
      </c>
      <c r="P21" s="8" t="s">
        <v>78</v>
      </c>
      <c r="Q21" s="8" t="s">
        <v>78</v>
      </c>
      <c r="R21" s="8"/>
      <c r="S21" s="8"/>
      <c r="T21" s="8"/>
      <c r="U21" s="8"/>
      <c r="V21" s="8"/>
      <c r="W21" s="8"/>
      <c r="X21" s="8"/>
      <c r="Y21" s="8"/>
      <c r="Z21" s="9" t="s">
        <v>126</v>
      </c>
    </row>
    <row r="22" spans="1:26">
      <c r="A22" s="3" t="s">
        <v>127</v>
      </c>
      <c r="B22" s="3" t="s">
        <v>75</v>
      </c>
      <c r="C22" s="3" t="s">
        <v>128</v>
      </c>
      <c r="D22" s="7">
        <v>842701</v>
      </c>
      <c r="E22" s="7">
        <v>897910</v>
      </c>
      <c r="F22" s="7">
        <v>885425</v>
      </c>
      <c r="G22" s="7">
        <v>974467</v>
      </c>
      <c r="H22" s="7">
        <v>966890</v>
      </c>
      <c r="I22" s="7">
        <v>1110056</v>
      </c>
      <c r="J22" s="7">
        <v>1247041</v>
      </c>
      <c r="K22" s="7">
        <v>2248950</v>
      </c>
      <c r="L22" s="7">
        <v>2432955</v>
      </c>
      <c r="M22" s="7">
        <v>2754729</v>
      </c>
      <c r="N22" s="7">
        <v>2859500</v>
      </c>
      <c r="O22" s="8" t="s">
        <v>77</v>
      </c>
      <c r="P22" s="8" t="s">
        <v>78</v>
      </c>
      <c r="Q22" s="8" t="s">
        <v>78</v>
      </c>
      <c r="R22" s="8" t="s">
        <v>79</v>
      </c>
      <c r="S22" s="8" t="s">
        <v>80</v>
      </c>
      <c r="T22" s="8" t="s">
        <v>81</v>
      </c>
      <c r="U22" s="8" t="s">
        <v>82</v>
      </c>
      <c r="V22" s="8" t="s">
        <v>83</v>
      </c>
      <c r="W22" s="8" t="s">
        <v>84</v>
      </c>
      <c r="X22" s="8" t="s">
        <v>85</v>
      </c>
      <c r="Y22" s="8" t="s">
        <v>86</v>
      </c>
      <c r="Z22" s="9" t="s">
        <v>90</v>
      </c>
    </row>
    <row r="23" spans="1:26">
      <c r="A23" s="3" t="s">
        <v>129</v>
      </c>
      <c r="B23" s="3" t="s">
        <v>75</v>
      </c>
      <c r="C23" s="3" t="s">
        <v>130</v>
      </c>
      <c r="D23" s="7">
        <v>537258</v>
      </c>
      <c r="E23" s="7">
        <v>833619</v>
      </c>
      <c r="F23" s="7">
        <v>665971</v>
      </c>
      <c r="G23" s="7">
        <v>816859</v>
      </c>
      <c r="H23" s="7">
        <v>883038</v>
      </c>
      <c r="I23" s="7">
        <v>924387</v>
      </c>
      <c r="J23" s="7">
        <v>987797</v>
      </c>
      <c r="K23" s="7">
        <v>1804303</v>
      </c>
      <c r="L23" s="7">
        <v>2513881</v>
      </c>
      <c r="M23" s="7">
        <v>2833056</v>
      </c>
      <c r="N23" s="7">
        <v>2755100</v>
      </c>
      <c r="O23" s="8" t="s">
        <v>77</v>
      </c>
      <c r="P23" s="8" t="s">
        <v>78</v>
      </c>
      <c r="Q23" s="8" t="s">
        <v>78</v>
      </c>
      <c r="R23" s="8" t="s">
        <v>79</v>
      </c>
      <c r="S23" s="8" t="s">
        <v>80</v>
      </c>
      <c r="T23" s="8" t="s">
        <v>81</v>
      </c>
      <c r="U23" s="8" t="s">
        <v>82</v>
      </c>
      <c r="V23" s="8" t="s">
        <v>83</v>
      </c>
      <c r="W23" s="8" t="s">
        <v>84</v>
      </c>
      <c r="X23" s="8" t="s">
        <v>85</v>
      </c>
      <c r="Y23" s="8" t="s">
        <v>86</v>
      </c>
      <c r="Z23" s="9" t="s">
        <v>90</v>
      </c>
    </row>
    <row r="24" spans="1:26">
      <c r="A24" s="3" t="s">
        <v>131</v>
      </c>
      <c r="B24" s="3" t="s">
        <v>75</v>
      </c>
      <c r="C24" s="3" t="s">
        <v>132</v>
      </c>
      <c r="D24" s="7">
        <v>1860319</v>
      </c>
      <c r="E24" s="7">
        <v>2238941</v>
      </c>
      <c r="F24" s="7">
        <v>2234277</v>
      </c>
      <c r="G24" s="7">
        <v>2476062</v>
      </c>
      <c r="H24" s="7">
        <v>2686008</v>
      </c>
      <c r="I24" s="7">
        <v>2897015</v>
      </c>
      <c r="J24" s="7">
        <v>3084513</v>
      </c>
      <c r="K24" s="7">
        <v>6158194</v>
      </c>
      <c r="L24" s="7">
        <v>7219429</v>
      </c>
      <c r="M24" s="7">
        <v>7777384</v>
      </c>
      <c r="N24" s="7">
        <v>8622900</v>
      </c>
      <c r="O24" s="8" t="s">
        <v>77</v>
      </c>
      <c r="P24" s="8" t="s">
        <v>78</v>
      </c>
      <c r="Q24" s="8" t="s">
        <v>78</v>
      </c>
      <c r="R24" s="8" t="s">
        <v>79</v>
      </c>
      <c r="S24" s="8" t="s">
        <v>80</v>
      </c>
      <c r="T24" s="8" t="s">
        <v>81</v>
      </c>
      <c r="U24" s="8" t="s">
        <v>82</v>
      </c>
      <c r="V24" s="8" t="s">
        <v>83</v>
      </c>
      <c r="W24" s="8" t="s">
        <v>84</v>
      </c>
      <c r="X24" s="8" t="s">
        <v>85</v>
      </c>
      <c r="Y24" s="8" t="s">
        <v>86</v>
      </c>
      <c r="Z24" s="9" t="s">
        <v>133</v>
      </c>
    </row>
    <row r="25" spans="1:26">
      <c r="A25" s="3" t="s">
        <v>134</v>
      </c>
      <c r="B25" s="3" t="s">
        <v>75</v>
      </c>
      <c r="C25" s="3" t="s">
        <v>135</v>
      </c>
      <c r="D25" s="7">
        <v>1086648</v>
      </c>
      <c r="E25" s="7">
        <v>1405225</v>
      </c>
      <c r="F25" s="7">
        <v>1365414</v>
      </c>
      <c r="G25" s="7">
        <v>1509253</v>
      </c>
      <c r="H25" s="7">
        <v>1698593</v>
      </c>
      <c r="I25" s="7">
        <v>1770468</v>
      </c>
      <c r="J25" s="7">
        <v>1756246</v>
      </c>
      <c r="K25" s="7">
        <v>3761829</v>
      </c>
      <c r="L25" s="7">
        <v>4439015</v>
      </c>
      <c r="M25" s="7">
        <v>4908892</v>
      </c>
      <c r="N25" s="7">
        <v>5313100</v>
      </c>
      <c r="O25" s="8" t="s">
        <v>77</v>
      </c>
      <c r="P25" s="8" t="s">
        <v>78</v>
      </c>
      <c r="Q25" s="8" t="s">
        <v>78</v>
      </c>
      <c r="R25" s="8" t="s">
        <v>79</v>
      </c>
      <c r="S25" s="8" t="s">
        <v>80</v>
      </c>
      <c r="T25" s="8" t="s">
        <v>81</v>
      </c>
      <c r="U25" s="8" t="s">
        <v>82</v>
      </c>
      <c r="V25" s="8" t="s">
        <v>83</v>
      </c>
      <c r="W25" s="8" t="s">
        <v>84</v>
      </c>
      <c r="X25" s="8" t="s">
        <v>85</v>
      </c>
      <c r="Y25" s="8" t="s">
        <v>86</v>
      </c>
      <c r="Z25" s="9" t="s">
        <v>133</v>
      </c>
    </row>
    <row r="26" spans="1:26" ht="28">
      <c r="A26" s="3" t="s">
        <v>136</v>
      </c>
      <c r="B26" s="3" t="s">
        <v>75</v>
      </c>
      <c r="C26" s="3" t="s">
        <v>137</v>
      </c>
      <c r="D26" s="7">
        <v>773670</v>
      </c>
      <c r="E26" s="7">
        <v>833715</v>
      </c>
      <c r="F26" s="7">
        <v>868863</v>
      </c>
      <c r="G26" s="7">
        <v>966809</v>
      </c>
      <c r="H26" s="7">
        <v>987415</v>
      </c>
      <c r="I26" s="7">
        <v>1126548</v>
      </c>
      <c r="J26" s="7">
        <v>1328267</v>
      </c>
      <c r="K26" s="7">
        <v>2396365</v>
      </c>
      <c r="L26" s="7">
        <v>2780414</v>
      </c>
      <c r="M26" s="7">
        <v>2868492</v>
      </c>
      <c r="N26" s="7">
        <v>3309800</v>
      </c>
      <c r="O26" s="8" t="s">
        <v>77</v>
      </c>
      <c r="P26" s="8" t="s">
        <v>78</v>
      </c>
      <c r="Q26" s="8" t="s">
        <v>78</v>
      </c>
      <c r="R26" s="8" t="s">
        <v>79</v>
      </c>
      <c r="S26" s="8" t="s">
        <v>80</v>
      </c>
      <c r="T26" s="8" t="s">
        <v>81</v>
      </c>
      <c r="U26" s="8" t="s">
        <v>82</v>
      </c>
      <c r="V26" s="8" t="s">
        <v>83</v>
      </c>
      <c r="W26" s="8" t="s">
        <v>84</v>
      </c>
      <c r="X26" s="8" t="s">
        <v>85</v>
      </c>
      <c r="Y26" s="8" t="s">
        <v>86</v>
      </c>
      <c r="Z26" s="9" t="s">
        <v>138</v>
      </c>
    </row>
    <row r="27" spans="1:26" ht="28">
      <c r="A27" s="3" t="s">
        <v>139</v>
      </c>
      <c r="B27" s="3" t="s">
        <v>75</v>
      </c>
      <c r="C27" s="3" t="s">
        <v>140</v>
      </c>
      <c r="D27" s="7">
        <v>740908</v>
      </c>
      <c r="E27" s="7">
        <v>802148</v>
      </c>
      <c r="F27" s="7">
        <v>833858</v>
      </c>
      <c r="G27" s="7">
        <v>925667</v>
      </c>
      <c r="H27" s="7">
        <v>939683</v>
      </c>
      <c r="I27" s="7">
        <v>1072899</v>
      </c>
      <c r="J27" s="7">
        <v>1270874</v>
      </c>
      <c r="K27" s="7">
        <v>1452367</v>
      </c>
      <c r="L27" s="7">
        <v>1719204</v>
      </c>
      <c r="M27" s="7">
        <v>1830461</v>
      </c>
      <c r="N27" s="7">
        <v>2139600</v>
      </c>
      <c r="O27" s="8" t="s">
        <v>77</v>
      </c>
      <c r="P27" s="8" t="s">
        <v>78</v>
      </c>
      <c r="Q27" s="8" t="s">
        <v>78</v>
      </c>
      <c r="R27" s="8" t="s">
        <v>79</v>
      </c>
      <c r="S27" s="8" t="s">
        <v>80</v>
      </c>
      <c r="T27" s="8" t="s">
        <v>81</v>
      </c>
      <c r="U27" s="8" t="s">
        <v>82</v>
      </c>
      <c r="V27" s="8" t="s">
        <v>83</v>
      </c>
      <c r="W27" s="8" t="s">
        <v>84</v>
      </c>
      <c r="X27" s="8" t="s">
        <v>85</v>
      </c>
      <c r="Y27" s="8" t="s">
        <v>86</v>
      </c>
      <c r="Z27" s="9" t="s">
        <v>90</v>
      </c>
    </row>
    <row r="28" spans="1:26" ht="70">
      <c r="A28" s="3" t="s">
        <v>141</v>
      </c>
      <c r="B28" s="3" t="s">
        <v>75</v>
      </c>
      <c r="C28" s="3" t="s">
        <v>142</v>
      </c>
      <c r="D28" s="7">
        <v>51627</v>
      </c>
      <c r="E28" s="7">
        <v>213160</v>
      </c>
      <c r="F28" s="7">
        <v>46846</v>
      </c>
      <c r="G28" s="7" t="s">
        <v>143</v>
      </c>
      <c r="H28" s="7" t="s">
        <v>143</v>
      </c>
      <c r="I28" s="7" t="s">
        <v>143</v>
      </c>
      <c r="J28" s="7" t="s">
        <v>143</v>
      </c>
      <c r="K28" s="7" t="s">
        <v>143</v>
      </c>
      <c r="L28" s="7" t="s">
        <v>143</v>
      </c>
      <c r="M28" s="7" t="s">
        <v>143</v>
      </c>
      <c r="N28" s="7" t="s">
        <v>143</v>
      </c>
      <c r="O28" s="8" t="s">
        <v>77</v>
      </c>
      <c r="P28" s="8" t="s">
        <v>78</v>
      </c>
      <c r="Q28" s="8" t="s">
        <v>78</v>
      </c>
      <c r="R28" s="8"/>
      <c r="S28" s="8"/>
      <c r="T28" s="8"/>
      <c r="U28" s="8"/>
      <c r="V28" s="8"/>
      <c r="W28" s="8"/>
      <c r="X28" s="8"/>
      <c r="Y28" s="8"/>
      <c r="Z28" s="9" t="s">
        <v>144</v>
      </c>
    </row>
    <row r="29" spans="1:26" ht="70">
      <c r="A29" s="3" t="s">
        <v>145</v>
      </c>
      <c r="B29" s="3" t="s">
        <v>75</v>
      </c>
      <c r="C29" s="3" t="s">
        <v>146</v>
      </c>
      <c r="D29" s="7">
        <v>29245</v>
      </c>
      <c r="E29" s="7">
        <v>53461</v>
      </c>
      <c r="F29" s="7">
        <v>567</v>
      </c>
      <c r="G29" s="7" t="s">
        <v>143</v>
      </c>
      <c r="H29" s="7" t="s">
        <v>143</v>
      </c>
      <c r="I29" s="7" t="s">
        <v>143</v>
      </c>
      <c r="J29" s="7" t="s">
        <v>143</v>
      </c>
      <c r="K29" s="7" t="s">
        <v>143</v>
      </c>
      <c r="L29" s="7" t="s">
        <v>143</v>
      </c>
      <c r="M29" s="7" t="s">
        <v>143</v>
      </c>
      <c r="N29" s="7" t="s">
        <v>143</v>
      </c>
      <c r="O29" s="8" t="s">
        <v>77</v>
      </c>
      <c r="P29" s="8" t="s">
        <v>78</v>
      </c>
      <c r="Q29" s="8" t="s">
        <v>78</v>
      </c>
      <c r="R29" s="8"/>
      <c r="S29" s="8"/>
      <c r="T29" s="8"/>
      <c r="U29" s="8"/>
      <c r="V29" s="8"/>
      <c r="W29" s="8"/>
      <c r="X29" s="8"/>
      <c r="Y29" s="8"/>
      <c r="Z29" s="9" t="s">
        <v>147</v>
      </c>
    </row>
    <row r="30" spans="1:26" ht="28">
      <c r="A30" s="3" t="s">
        <v>148</v>
      </c>
      <c r="B30" s="3" t="s">
        <v>75</v>
      </c>
      <c r="C30" s="3" t="s">
        <v>149</v>
      </c>
      <c r="D30" s="7" t="s">
        <v>112</v>
      </c>
      <c r="E30" s="7" t="s">
        <v>112</v>
      </c>
      <c r="F30" s="7" t="s">
        <v>112</v>
      </c>
      <c r="G30" s="7">
        <v>134586</v>
      </c>
      <c r="H30" s="7">
        <v>157094</v>
      </c>
      <c r="I30" s="7">
        <v>105748</v>
      </c>
      <c r="J30" s="7">
        <v>102829</v>
      </c>
      <c r="K30" s="7">
        <v>278843</v>
      </c>
      <c r="L30" s="7">
        <v>755830</v>
      </c>
      <c r="M30" s="7">
        <v>969666</v>
      </c>
      <c r="N30" s="7">
        <v>732300</v>
      </c>
      <c r="O30" s="8"/>
      <c r="P30" s="8"/>
      <c r="Q30" s="8"/>
      <c r="R30" s="8" t="s">
        <v>79</v>
      </c>
      <c r="S30" s="8" t="s">
        <v>80</v>
      </c>
      <c r="T30" s="8" t="s">
        <v>81</v>
      </c>
      <c r="U30" s="8" t="s">
        <v>82</v>
      </c>
      <c r="V30" s="8" t="s">
        <v>83</v>
      </c>
      <c r="W30" s="8" t="s">
        <v>84</v>
      </c>
      <c r="X30" s="8" t="s">
        <v>85</v>
      </c>
      <c r="Y30" s="8" t="s">
        <v>86</v>
      </c>
      <c r="Z30" s="9" t="s">
        <v>90</v>
      </c>
    </row>
    <row r="31" spans="1:26" ht="28">
      <c r="A31" s="3" t="s">
        <v>150</v>
      </c>
      <c r="B31" s="3" t="s">
        <v>75</v>
      </c>
      <c r="C31" s="3" t="s">
        <v>151</v>
      </c>
      <c r="D31" s="7">
        <v>109451</v>
      </c>
      <c r="E31" s="7">
        <v>168618</v>
      </c>
      <c r="F31" s="7">
        <v>358779</v>
      </c>
      <c r="G31" s="7" t="s">
        <v>112</v>
      </c>
      <c r="H31" s="7" t="s">
        <v>112</v>
      </c>
      <c r="I31" s="7" t="s">
        <v>112</v>
      </c>
      <c r="J31" s="7" t="s">
        <v>112</v>
      </c>
      <c r="K31" s="7" t="s">
        <v>112</v>
      </c>
      <c r="L31" s="7" t="s">
        <v>112</v>
      </c>
      <c r="M31" s="7" t="s">
        <v>112</v>
      </c>
      <c r="N31" s="7" t="s">
        <v>112</v>
      </c>
      <c r="O31" s="8" t="s">
        <v>77</v>
      </c>
      <c r="P31" s="8" t="s">
        <v>78</v>
      </c>
      <c r="Q31" s="8" t="s">
        <v>78</v>
      </c>
      <c r="R31" s="8"/>
      <c r="S31" s="8"/>
      <c r="T31" s="8"/>
      <c r="U31" s="8"/>
      <c r="V31" s="8"/>
      <c r="W31" s="8"/>
      <c r="X31" s="8"/>
      <c r="Y31" s="8"/>
      <c r="Z31" s="9" t="s">
        <v>152</v>
      </c>
    </row>
    <row r="32" spans="1:26" ht="28">
      <c r="A32" s="3" t="s">
        <v>153</v>
      </c>
      <c r="B32" s="3" t="s">
        <v>75</v>
      </c>
      <c r="C32" s="3" t="s">
        <v>154</v>
      </c>
      <c r="D32" s="7">
        <v>210062</v>
      </c>
      <c r="E32" s="7">
        <v>160075</v>
      </c>
      <c r="F32" s="7">
        <v>110081</v>
      </c>
      <c r="G32" s="7" t="s">
        <v>112</v>
      </c>
      <c r="H32" s="7" t="s">
        <v>112</v>
      </c>
      <c r="I32" s="7" t="s">
        <v>112</v>
      </c>
      <c r="J32" s="7" t="s">
        <v>112</v>
      </c>
      <c r="K32" s="7" t="s">
        <v>112</v>
      </c>
      <c r="L32" s="7" t="s">
        <v>112</v>
      </c>
      <c r="M32" s="7" t="s">
        <v>112</v>
      </c>
      <c r="N32" s="7" t="s">
        <v>112</v>
      </c>
      <c r="O32" s="8" t="s">
        <v>77</v>
      </c>
      <c r="P32" s="8" t="s">
        <v>78</v>
      </c>
      <c r="Q32" s="8" t="s">
        <v>78</v>
      </c>
      <c r="R32" s="8"/>
      <c r="S32" s="8"/>
      <c r="T32" s="8"/>
      <c r="U32" s="8"/>
      <c r="V32" s="8"/>
      <c r="W32" s="8"/>
      <c r="X32" s="8"/>
      <c r="Y32" s="8"/>
      <c r="Z32" s="9" t="s">
        <v>155</v>
      </c>
    </row>
    <row r="33" spans="1:26" ht="28">
      <c r="A33" s="3" t="s">
        <v>156</v>
      </c>
      <c r="B33" s="3" t="s">
        <v>75</v>
      </c>
      <c r="C33" s="3" t="s">
        <v>157</v>
      </c>
      <c r="D33" s="7" t="s">
        <v>112</v>
      </c>
      <c r="E33" s="7" t="s">
        <v>112</v>
      </c>
      <c r="F33" s="7" t="s">
        <v>112</v>
      </c>
      <c r="G33" s="7">
        <v>446437</v>
      </c>
      <c r="H33" s="7">
        <v>440861</v>
      </c>
      <c r="I33" s="7">
        <v>473154</v>
      </c>
      <c r="J33" s="7">
        <v>393651</v>
      </c>
      <c r="K33" s="7">
        <v>1453018</v>
      </c>
      <c r="L33" s="7">
        <v>1419483</v>
      </c>
      <c r="M33" s="7">
        <v>1629411</v>
      </c>
      <c r="N33" s="7">
        <v>2102800</v>
      </c>
      <c r="O33" s="8"/>
      <c r="P33" s="8"/>
      <c r="Q33" s="8"/>
      <c r="R33" s="8" t="s">
        <v>79</v>
      </c>
      <c r="S33" s="8" t="s">
        <v>80</v>
      </c>
      <c r="T33" s="8" t="s">
        <v>81</v>
      </c>
      <c r="U33" s="8" t="s">
        <v>82</v>
      </c>
      <c r="V33" s="8" t="s">
        <v>83</v>
      </c>
      <c r="W33" s="8" t="s">
        <v>84</v>
      </c>
      <c r="X33" s="8" t="s">
        <v>85</v>
      </c>
      <c r="Y33" s="8" t="s">
        <v>86</v>
      </c>
      <c r="Z33" s="9" t="s">
        <v>90</v>
      </c>
    </row>
    <row r="34" spans="1:26" ht="28">
      <c r="A34" s="3" t="s">
        <v>158</v>
      </c>
      <c r="B34" s="3" t="s">
        <v>75</v>
      </c>
      <c r="C34" s="3" t="s">
        <v>159</v>
      </c>
      <c r="D34" s="7" t="s">
        <v>112</v>
      </c>
      <c r="E34" s="7" t="s">
        <v>112</v>
      </c>
      <c r="F34" s="7" t="s">
        <v>112</v>
      </c>
      <c r="G34" s="7" t="s">
        <v>112</v>
      </c>
      <c r="H34" s="7">
        <v>39143</v>
      </c>
      <c r="I34" s="7">
        <v>41439</v>
      </c>
      <c r="J34" s="7">
        <v>42560</v>
      </c>
      <c r="K34" s="7">
        <v>64280</v>
      </c>
      <c r="L34" s="7">
        <v>70096</v>
      </c>
      <c r="M34" s="7">
        <v>70418</v>
      </c>
      <c r="N34" s="7" t="s">
        <v>112</v>
      </c>
      <c r="O34" s="8"/>
      <c r="P34" s="8"/>
      <c r="Q34" s="8"/>
      <c r="R34" s="8"/>
      <c r="S34" s="8" t="s">
        <v>80</v>
      </c>
      <c r="T34" s="8" t="s">
        <v>81</v>
      </c>
      <c r="U34" s="8" t="s">
        <v>82</v>
      </c>
      <c r="V34" s="8" t="s">
        <v>83</v>
      </c>
      <c r="W34" s="8" t="s">
        <v>84</v>
      </c>
      <c r="X34" s="8" t="s">
        <v>85</v>
      </c>
      <c r="Y34" s="8"/>
      <c r="Z34" s="9" t="s">
        <v>160</v>
      </c>
    </row>
    <row r="35" spans="1:26" ht="28">
      <c r="A35" s="3" t="s">
        <v>161</v>
      </c>
      <c r="B35" s="3" t="s">
        <v>75</v>
      </c>
      <c r="C35" s="3" t="s">
        <v>159</v>
      </c>
      <c r="D35" s="7" t="s">
        <v>112</v>
      </c>
      <c r="E35" s="7" t="s">
        <v>112</v>
      </c>
      <c r="F35" s="7" t="s">
        <v>112</v>
      </c>
      <c r="G35" s="7" t="s">
        <v>112</v>
      </c>
      <c r="H35" s="7">
        <v>122219</v>
      </c>
      <c r="I35" s="7">
        <v>117866</v>
      </c>
      <c r="J35" s="7">
        <v>124004</v>
      </c>
      <c r="K35" s="7">
        <v>204640</v>
      </c>
      <c r="L35" s="7">
        <v>206105</v>
      </c>
      <c r="M35" s="7">
        <v>168280</v>
      </c>
      <c r="N35" s="7">
        <v>174000</v>
      </c>
      <c r="O35" s="8"/>
      <c r="P35" s="8"/>
      <c r="Q35" s="8"/>
      <c r="R35" s="8"/>
      <c r="S35" s="8" t="s">
        <v>80</v>
      </c>
      <c r="T35" s="8" t="s">
        <v>81</v>
      </c>
      <c r="U35" s="8" t="s">
        <v>82</v>
      </c>
      <c r="V35" s="8" t="s">
        <v>83</v>
      </c>
      <c r="W35" s="8" t="s">
        <v>84</v>
      </c>
      <c r="X35" s="8" t="s">
        <v>85</v>
      </c>
      <c r="Y35" s="8" t="s">
        <v>86</v>
      </c>
      <c r="Z35" s="9" t="s">
        <v>90</v>
      </c>
    </row>
    <row r="36" spans="1:26" ht="28">
      <c r="A36" s="3" t="s">
        <v>162</v>
      </c>
      <c r="B36" s="3" t="s">
        <v>75</v>
      </c>
      <c r="C36" s="3" t="s">
        <v>163</v>
      </c>
      <c r="D36" s="7">
        <v>400387</v>
      </c>
      <c r="E36" s="7">
        <v>650814</v>
      </c>
      <c r="F36" s="7">
        <v>592003</v>
      </c>
      <c r="G36" s="7">
        <v>605000</v>
      </c>
      <c r="H36" s="7">
        <v>598000</v>
      </c>
      <c r="I36" s="7">
        <v>578900</v>
      </c>
      <c r="J36" s="7">
        <v>496500</v>
      </c>
      <c r="K36" s="7" t="s">
        <v>112</v>
      </c>
      <c r="L36" s="7" t="s">
        <v>112</v>
      </c>
      <c r="M36" s="7">
        <v>2599100</v>
      </c>
      <c r="N36" s="7">
        <v>2835100</v>
      </c>
      <c r="O36" s="8" t="s">
        <v>78</v>
      </c>
      <c r="P36" s="8" t="s">
        <v>78</v>
      </c>
      <c r="Q36" s="8" t="s">
        <v>78</v>
      </c>
      <c r="R36" s="8" t="s">
        <v>100</v>
      </c>
      <c r="S36" s="8" t="s">
        <v>100</v>
      </c>
      <c r="T36" s="8" t="s">
        <v>100</v>
      </c>
      <c r="U36" s="8" t="s">
        <v>100</v>
      </c>
      <c r="V36" s="8"/>
      <c r="W36" s="8"/>
      <c r="X36" s="8" t="s">
        <v>86</v>
      </c>
      <c r="Y36" s="8" t="s">
        <v>86</v>
      </c>
      <c r="Z36" s="9" t="s">
        <v>164</v>
      </c>
    </row>
    <row r="37" spans="1:26" ht="28">
      <c r="A37" s="3" t="s">
        <v>165</v>
      </c>
      <c r="B37" s="3" t="s">
        <v>75</v>
      </c>
      <c r="C37" s="3" t="s">
        <v>166</v>
      </c>
      <c r="D37" s="7">
        <v>168879</v>
      </c>
      <c r="E37" s="7" t="s">
        <v>112</v>
      </c>
      <c r="F37" s="7" t="s">
        <v>112</v>
      </c>
      <c r="G37" s="7">
        <v>357014</v>
      </c>
      <c r="H37" s="7">
        <v>391017</v>
      </c>
      <c r="I37" s="7">
        <v>415272</v>
      </c>
      <c r="J37" s="7">
        <v>493769</v>
      </c>
      <c r="K37" s="7">
        <v>1133559</v>
      </c>
      <c r="L37" s="7">
        <v>1321773</v>
      </c>
      <c r="M37" s="7">
        <v>1351114</v>
      </c>
      <c r="N37" s="7">
        <v>1492700</v>
      </c>
      <c r="O37" s="8" t="s">
        <v>77</v>
      </c>
      <c r="P37" s="8"/>
      <c r="Q37" s="8"/>
      <c r="R37" s="8" t="s">
        <v>79</v>
      </c>
      <c r="S37" s="8" t="s">
        <v>80</v>
      </c>
      <c r="T37" s="8" t="s">
        <v>81</v>
      </c>
      <c r="U37" s="8" t="s">
        <v>82</v>
      </c>
      <c r="V37" s="8" t="s">
        <v>83</v>
      </c>
      <c r="W37" s="8" t="s">
        <v>84</v>
      </c>
      <c r="X37" s="8" t="s">
        <v>85</v>
      </c>
      <c r="Y37" s="8" t="s">
        <v>86</v>
      </c>
      <c r="Z37" s="9" t="s">
        <v>167</v>
      </c>
    </row>
    <row r="38" spans="1:26" ht="28">
      <c r="A38" s="3" t="s">
        <v>168</v>
      </c>
      <c r="B38" s="3" t="s">
        <v>75</v>
      </c>
      <c r="C38" s="3" t="s">
        <v>169</v>
      </c>
      <c r="D38" s="7">
        <v>535337</v>
      </c>
      <c r="E38" s="7" t="s">
        <v>112</v>
      </c>
      <c r="F38" s="7" t="s">
        <v>112</v>
      </c>
      <c r="G38" s="7">
        <v>444444</v>
      </c>
      <c r="H38" s="7">
        <v>477716</v>
      </c>
      <c r="I38" s="7">
        <v>477495</v>
      </c>
      <c r="J38" s="7">
        <v>506705</v>
      </c>
      <c r="K38" s="7">
        <v>653205</v>
      </c>
      <c r="L38" s="7">
        <v>693716</v>
      </c>
      <c r="M38" s="7">
        <v>694725</v>
      </c>
      <c r="N38" s="7">
        <v>707900</v>
      </c>
      <c r="O38" s="8" t="s">
        <v>77</v>
      </c>
      <c r="P38" s="8"/>
      <c r="Q38" s="8"/>
      <c r="R38" s="8" t="s">
        <v>79</v>
      </c>
      <c r="S38" s="8" t="s">
        <v>80</v>
      </c>
      <c r="T38" s="8" t="s">
        <v>81</v>
      </c>
      <c r="U38" s="8" t="s">
        <v>82</v>
      </c>
      <c r="V38" s="8" t="s">
        <v>83</v>
      </c>
      <c r="W38" s="8" t="s">
        <v>84</v>
      </c>
      <c r="X38" s="8" t="s">
        <v>85</v>
      </c>
      <c r="Y38" s="8" t="s">
        <v>86</v>
      </c>
      <c r="Z38" s="9" t="s">
        <v>170</v>
      </c>
    </row>
    <row r="39" spans="1:26">
      <c r="A39" s="3" t="s">
        <v>171</v>
      </c>
      <c r="B39" s="3" t="s">
        <v>75</v>
      </c>
      <c r="C39" s="3" t="s">
        <v>172</v>
      </c>
      <c r="D39" s="7">
        <v>302575</v>
      </c>
      <c r="E39" s="7">
        <v>356860</v>
      </c>
      <c r="F39" s="7">
        <v>380350</v>
      </c>
      <c r="G39" s="7">
        <v>355717</v>
      </c>
      <c r="H39" s="7">
        <v>344922</v>
      </c>
      <c r="I39" s="7">
        <v>339158</v>
      </c>
      <c r="J39" s="7">
        <v>332225</v>
      </c>
      <c r="K39" s="7">
        <v>1372468</v>
      </c>
      <c r="L39" s="7">
        <v>1914447</v>
      </c>
      <c r="M39" s="7">
        <v>2178203</v>
      </c>
      <c r="N39" s="7">
        <v>2644600</v>
      </c>
      <c r="O39" s="8" t="s">
        <v>77</v>
      </c>
      <c r="P39" s="8" t="s">
        <v>78</v>
      </c>
      <c r="Q39" s="8" t="s">
        <v>78</v>
      </c>
      <c r="R39" s="8" t="s">
        <v>79</v>
      </c>
      <c r="S39" s="8" t="s">
        <v>80</v>
      </c>
      <c r="T39" s="8" t="s">
        <v>81</v>
      </c>
      <c r="U39" s="8" t="s">
        <v>82</v>
      </c>
      <c r="V39" s="8" t="s">
        <v>83</v>
      </c>
      <c r="W39" s="8" t="s">
        <v>84</v>
      </c>
      <c r="X39" s="8" t="s">
        <v>85</v>
      </c>
      <c r="Y39" s="8" t="s">
        <v>86</v>
      </c>
      <c r="Z39" s="9" t="s">
        <v>173</v>
      </c>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7">
    <mergeCell ref="A5:Z5"/>
    <mergeCell ref="A19:Z19"/>
    <mergeCell ref="A1:Z1"/>
    <mergeCell ref="A2:Z2"/>
    <mergeCell ref="A3:C3"/>
    <mergeCell ref="D3:N3"/>
    <mergeCell ref="O3:Y3"/>
  </mergeCells>
  <conditionalFormatting sqref="D5:N120">
    <cfRule type="expression" dxfId="11" priority="1">
      <formula>LEFT(D5,3)="N/A"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20"/>
  <sheetViews>
    <sheetView workbookViewId="0"/>
  </sheetViews>
  <sheetFormatPr defaultRowHeight="14"/>
  <cols>
    <col min="1" max="1" width="34" customWidth="1"/>
    <col min="2" max="2" width="14" customWidth="1"/>
    <col min="3" max="3" width="42" customWidth="1"/>
    <col min="4" max="14" width="13" customWidth="1"/>
    <col min="15" max="25" width="10" customWidth="1"/>
    <col min="26" max="26" width="48" customWidth="1"/>
  </cols>
  <sheetData>
    <row r="1" spans="1:26" ht="18.649999999999999" customHeight="1">
      <c r="A1" s="140" t="s">
        <v>174</v>
      </c>
      <c r="B1" s="140"/>
      <c r="C1" s="140"/>
      <c r="D1" s="140"/>
      <c r="E1" s="140"/>
      <c r="F1" s="140"/>
      <c r="G1" s="140"/>
      <c r="H1" s="140"/>
      <c r="I1" s="140"/>
      <c r="J1" s="140"/>
      <c r="K1" s="140"/>
      <c r="L1" s="140"/>
      <c r="M1" s="140"/>
      <c r="N1" s="140"/>
      <c r="O1" s="140"/>
      <c r="P1" s="140"/>
      <c r="Q1" s="140"/>
      <c r="R1" s="140"/>
      <c r="S1" s="140"/>
      <c r="T1" s="140"/>
      <c r="U1" s="140"/>
      <c r="V1" s="140"/>
      <c r="W1" s="140"/>
      <c r="X1" s="140"/>
      <c r="Y1" s="140"/>
      <c r="Z1" s="140"/>
    </row>
    <row r="2" spans="1:26" ht="21.4" customHeight="1">
      <c r="A2" s="141" t="s">
        <v>175</v>
      </c>
      <c r="B2" s="141"/>
      <c r="C2" s="141"/>
      <c r="D2" s="141"/>
      <c r="E2" s="141"/>
      <c r="F2" s="141"/>
      <c r="G2" s="141"/>
      <c r="H2" s="141"/>
      <c r="I2" s="141"/>
      <c r="J2" s="141"/>
      <c r="K2" s="141"/>
      <c r="L2" s="141"/>
      <c r="M2" s="141"/>
      <c r="N2" s="141"/>
      <c r="O2" s="141"/>
      <c r="P2" s="141"/>
      <c r="Q2" s="141"/>
      <c r="R2" s="141"/>
      <c r="S2" s="141"/>
      <c r="T2" s="141"/>
      <c r="U2" s="141"/>
      <c r="V2" s="141"/>
      <c r="W2" s="141"/>
      <c r="X2" s="141"/>
      <c r="Y2" s="141"/>
      <c r="Z2" s="141"/>
    </row>
    <row r="3" spans="1:26">
      <c r="A3" s="144" t="s">
        <v>55</v>
      </c>
      <c r="B3" s="144"/>
      <c r="C3" s="144"/>
      <c r="D3" s="144" t="s">
        <v>56</v>
      </c>
      <c r="E3" s="144"/>
      <c r="F3" s="144"/>
      <c r="G3" s="144"/>
      <c r="H3" s="144"/>
      <c r="I3" s="144"/>
      <c r="J3" s="144"/>
      <c r="K3" s="144"/>
      <c r="L3" s="144"/>
      <c r="M3" s="144"/>
      <c r="N3" s="144"/>
      <c r="O3" s="144" t="s">
        <v>57</v>
      </c>
      <c r="P3" s="144"/>
      <c r="Q3" s="144"/>
      <c r="R3" s="144"/>
      <c r="S3" s="144"/>
      <c r="T3" s="144"/>
      <c r="U3" s="144"/>
      <c r="V3" s="144"/>
      <c r="W3" s="144"/>
      <c r="X3" s="144"/>
      <c r="Y3" s="144"/>
      <c r="Z3" s="5" t="s">
        <v>58</v>
      </c>
    </row>
    <row r="4" spans="1:26">
      <c r="A4" s="6" t="s">
        <v>59</v>
      </c>
      <c r="B4" s="6" t="s">
        <v>60</v>
      </c>
      <c r="C4" s="6" t="s">
        <v>61</v>
      </c>
      <c r="D4" s="6" t="s">
        <v>62</v>
      </c>
      <c r="E4" s="6" t="s">
        <v>63</v>
      </c>
      <c r="F4" s="6" t="s">
        <v>64</v>
      </c>
      <c r="G4" s="6" t="s">
        <v>65</v>
      </c>
      <c r="H4" s="6" t="s">
        <v>66</v>
      </c>
      <c r="I4" s="6" t="s">
        <v>67</v>
      </c>
      <c r="J4" s="6" t="s">
        <v>68</v>
      </c>
      <c r="K4" s="6" t="s">
        <v>69</v>
      </c>
      <c r="L4" s="6" t="s">
        <v>70</v>
      </c>
      <c r="M4" s="6" t="s">
        <v>71</v>
      </c>
      <c r="N4" s="6" t="s">
        <v>72</v>
      </c>
      <c r="O4" s="6" t="s">
        <v>62</v>
      </c>
      <c r="P4" s="6" t="s">
        <v>63</v>
      </c>
      <c r="Q4" s="6" t="s">
        <v>64</v>
      </c>
      <c r="R4" s="6" t="s">
        <v>65</v>
      </c>
      <c r="S4" s="6" t="s">
        <v>66</v>
      </c>
      <c r="T4" s="6" t="s">
        <v>67</v>
      </c>
      <c r="U4" s="6" t="s">
        <v>68</v>
      </c>
      <c r="V4" s="6" t="s">
        <v>69</v>
      </c>
      <c r="W4" s="6" t="s">
        <v>70</v>
      </c>
      <c r="X4" s="6" t="s">
        <v>71</v>
      </c>
      <c r="Y4" s="6" t="s">
        <v>72</v>
      </c>
      <c r="Z4" s="6" t="s">
        <v>58</v>
      </c>
    </row>
    <row r="5" spans="1:26" ht="13.4" customHeight="1">
      <c r="A5" s="145" t="s">
        <v>176</v>
      </c>
      <c r="B5" s="145"/>
      <c r="C5" s="145"/>
      <c r="D5" s="145"/>
      <c r="E5" s="145"/>
      <c r="F5" s="145"/>
      <c r="G5" s="145"/>
      <c r="H5" s="145"/>
      <c r="I5" s="145"/>
      <c r="J5" s="145"/>
      <c r="K5" s="145"/>
      <c r="L5" s="145"/>
      <c r="M5" s="145"/>
      <c r="N5" s="145"/>
      <c r="O5" s="145"/>
      <c r="P5" s="145"/>
      <c r="Q5" s="145"/>
      <c r="R5" s="145"/>
      <c r="S5" s="145"/>
      <c r="T5" s="145"/>
      <c r="U5" s="145"/>
      <c r="V5" s="145"/>
      <c r="W5" s="145"/>
      <c r="X5" s="145"/>
      <c r="Y5" s="145"/>
      <c r="Z5" s="145"/>
    </row>
    <row r="6" spans="1:26" ht="70">
      <c r="A6" s="3" t="s">
        <v>177</v>
      </c>
      <c r="B6" s="3" t="s">
        <v>75</v>
      </c>
      <c r="C6" s="3" t="s">
        <v>178</v>
      </c>
      <c r="D6" s="7">
        <v>403146</v>
      </c>
      <c r="E6" s="7">
        <v>458085</v>
      </c>
      <c r="F6" s="7">
        <v>504632</v>
      </c>
      <c r="G6" s="7">
        <v>489398</v>
      </c>
      <c r="H6" s="7">
        <v>502994</v>
      </c>
      <c r="I6" s="7">
        <v>517393</v>
      </c>
      <c r="J6" s="7">
        <v>581302</v>
      </c>
      <c r="K6" s="7">
        <v>1088978</v>
      </c>
      <c r="L6" s="7">
        <v>1261976</v>
      </c>
      <c r="M6" s="7" t="s">
        <v>143</v>
      </c>
      <c r="N6" s="7" t="s">
        <v>143</v>
      </c>
      <c r="O6" s="8" t="s">
        <v>77</v>
      </c>
      <c r="P6" s="8" t="s">
        <v>78</v>
      </c>
      <c r="Q6" s="8" t="s">
        <v>78</v>
      </c>
      <c r="R6" s="8" t="s">
        <v>79</v>
      </c>
      <c r="S6" s="8" t="s">
        <v>80</v>
      </c>
      <c r="T6" s="8" t="s">
        <v>81</v>
      </c>
      <c r="U6" s="8" t="s">
        <v>82</v>
      </c>
      <c r="V6" s="8" t="s">
        <v>179</v>
      </c>
      <c r="W6" s="8" t="s">
        <v>179</v>
      </c>
      <c r="X6" s="8" t="s">
        <v>180</v>
      </c>
      <c r="Y6" s="8" t="s">
        <v>86</v>
      </c>
      <c r="Z6" s="9" t="s">
        <v>181</v>
      </c>
    </row>
    <row r="7" spans="1:26" ht="70">
      <c r="A7" s="3" t="s">
        <v>182</v>
      </c>
      <c r="B7" s="3" t="s">
        <v>75</v>
      </c>
      <c r="C7" s="3" t="s">
        <v>183</v>
      </c>
      <c r="D7" s="7" t="s">
        <v>112</v>
      </c>
      <c r="E7" s="7" t="s">
        <v>112</v>
      </c>
      <c r="F7" s="7" t="s">
        <v>112</v>
      </c>
      <c r="G7" s="7">
        <v>43708</v>
      </c>
      <c r="H7" s="7">
        <v>54852</v>
      </c>
      <c r="I7" s="7">
        <v>65772</v>
      </c>
      <c r="J7" s="7">
        <v>52731</v>
      </c>
      <c r="K7" s="7">
        <v>88711</v>
      </c>
      <c r="L7" s="7">
        <v>70229</v>
      </c>
      <c r="M7" s="7" t="s">
        <v>143</v>
      </c>
      <c r="N7" s="7" t="s">
        <v>143</v>
      </c>
      <c r="O7" s="8"/>
      <c r="P7" s="8"/>
      <c r="Q7" s="8"/>
      <c r="R7" s="8" t="s">
        <v>79</v>
      </c>
      <c r="S7" s="8" t="s">
        <v>80</v>
      </c>
      <c r="T7" s="8" t="s">
        <v>81</v>
      </c>
      <c r="U7" s="8" t="s">
        <v>82</v>
      </c>
      <c r="V7" s="8" t="s">
        <v>179</v>
      </c>
      <c r="W7" s="8" t="s">
        <v>179</v>
      </c>
      <c r="X7" s="8"/>
      <c r="Y7" s="8"/>
      <c r="Z7" s="9" t="s">
        <v>184</v>
      </c>
    </row>
    <row r="8" spans="1:26" ht="70">
      <c r="A8" s="3" t="s">
        <v>185</v>
      </c>
      <c r="B8" s="3" t="s">
        <v>75</v>
      </c>
      <c r="C8" s="3" t="s">
        <v>186</v>
      </c>
      <c r="D8" s="7" t="s">
        <v>112</v>
      </c>
      <c r="E8" s="7" t="s">
        <v>112</v>
      </c>
      <c r="F8" s="7" t="s">
        <v>112</v>
      </c>
      <c r="G8" s="7">
        <v>16020</v>
      </c>
      <c r="H8" s="7">
        <v>14329</v>
      </c>
      <c r="I8" s="7">
        <v>18718</v>
      </c>
      <c r="J8" s="7">
        <v>38632</v>
      </c>
      <c r="K8" s="7">
        <v>64581</v>
      </c>
      <c r="L8" s="7">
        <v>64191</v>
      </c>
      <c r="M8" s="7" t="s">
        <v>143</v>
      </c>
      <c r="N8" s="7" t="s">
        <v>143</v>
      </c>
      <c r="O8" s="8"/>
      <c r="P8" s="8"/>
      <c r="Q8" s="8"/>
      <c r="R8" s="8" t="s">
        <v>79</v>
      </c>
      <c r="S8" s="8" t="s">
        <v>80</v>
      </c>
      <c r="T8" s="8" t="s">
        <v>81</v>
      </c>
      <c r="U8" s="8" t="s">
        <v>82</v>
      </c>
      <c r="V8" s="8" t="s">
        <v>179</v>
      </c>
      <c r="W8" s="8" t="s">
        <v>179</v>
      </c>
      <c r="X8" s="8"/>
      <c r="Y8" s="8"/>
      <c r="Z8" s="9" t="s">
        <v>184</v>
      </c>
    </row>
    <row r="9" spans="1:26" ht="70">
      <c r="A9" s="3" t="s">
        <v>187</v>
      </c>
      <c r="B9" s="3" t="s">
        <v>75</v>
      </c>
      <c r="C9" s="3" t="s">
        <v>188</v>
      </c>
      <c r="D9" s="7" t="s">
        <v>112</v>
      </c>
      <c r="E9" s="7" t="s">
        <v>112</v>
      </c>
      <c r="F9" s="7" t="s">
        <v>112</v>
      </c>
      <c r="G9" s="7">
        <v>549126</v>
      </c>
      <c r="H9" s="7">
        <v>572175</v>
      </c>
      <c r="I9" s="7">
        <v>601883</v>
      </c>
      <c r="J9" s="7">
        <v>672665</v>
      </c>
      <c r="K9" s="7">
        <v>1242269</v>
      </c>
      <c r="L9" s="7">
        <v>1396396</v>
      </c>
      <c r="M9" s="7">
        <v>1535492</v>
      </c>
      <c r="N9" s="7" t="s">
        <v>143</v>
      </c>
      <c r="O9" s="8"/>
      <c r="P9" s="8"/>
      <c r="Q9" s="8"/>
      <c r="R9" s="8" t="s">
        <v>79</v>
      </c>
      <c r="S9" s="8" t="s">
        <v>80</v>
      </c>
      <c r="T9" s="8" t="s">
        <v>81</v>
      </c>
      <c r="U9" s="8" t="s">
        <v>82</v>
      </c>
      <c r="V9" s="8" t="s">
        <v>179</v>
      </c>
      <c r="W9" s="8" t="s">
        <v>179</v>
      </c>
      <c r="X9" s="8" t="s">
        <v>85</v>
      </c>
      <c r="Y9" s="8"/>
      <c r="Z9" s="9" t="s">
        <v>189</v>
      </c>
    </row>
    <row r="10" spans="1:26" ht="28">
      <c r="A10" s="3" t="s">
        <v>190</v>
      </c>
      <c r="B10" s="3" t="s">
        <v>75</v>
      </c>
      <c r="C10" s="3" t="s">
        <v>191</v>
      </c>
      <c r="D10" s="7" t="s">
        <v>112</v>
      </c>
      <c r="E10" s="7" t="s">
        <v>112</v>
      </c>
      <c r="F10" s="7" t="s">
        <v>112</v>
      </c>
      <c r="G10" s="7" t="s">
        <v>112</v>
      </c>
      <c r="H10" s="7" t="s">
        <v>112</v>
      </c>
      <c r="I10" s="7" t="s">
        <v>112</v>
      </c>
      <c r="J10" s="7" t="s">
        <v>112</v>
      </c>
      <c r="K10" s="7" t="s">
        <v>112</v>
      </c>
      <c r="L10" s="7" t="s">
        <v>112</v>
      </c>
      <c r="M10" s="7">
        <v>1587700</v>
      </c>
      <c r="N10" s="7">
        <v>1806000</v>
      </c>
      <c r="O10" s="8"/>
      <c r="P10" s="8"/>
      <c r="Q10" s="8"/>
      <c r="R10" s="8"/>
      <c r="S10" s="8"/>
      <c r="T10" s="8"/>
      <c r="U10" s="8"/>
      <c r="V10" s="8"/>
      <c r="W10" s="8"/>
      <c r="X10" s="8" t="s">
        <v>86</v>
      </c>
      <c r="Y10" s="8" t="s">
        <v>86</v>
      </c>
      <c r="Z10" s="9" t="s">
        <v>192</v>
      </c>
    </row>
    <row r="11" spans="1:26" ht="70">
      <c r="A11" s="3" t="s">
        <v>193</v>
      </c>
      <c r="B11" s="3" t="s">
        <v>75</v>
      </c>
      <c r="C11" s="3" t="s">
        <v>194</v>
      </c>
      <c r="D11" s="7">
        <v>-2614</v>
      </c>
      <c r="E11" s="7">
        <v>-3740</v>
      </c>
      <c r="F11" s="7">
        <v>-3217</v>
      </c>
      <c r="G11" s="7" t="s">
        <v>143</v>
      </c>
      <c r="H11" s="7" t="s">
        <v>143</v>
      </c>
      <c r="I11" s="7" t="s">
        <v>143</v>
      </c>
      <c r="J11" s="7" t="s">
        <v>143</v>
      </c>
      <c r="K11" s="7" t="s">
        <v>143</v>
      </c>
      <c r="L11" s="7" t="s">
        <v>143</v>
      </c>
      <c r="M11" s="7" t="s">
        <v>143</v>
      </c>
      <c r="N11" s="7" t="s">
        <v>143</v>
      </c>
      <c r="O11" s="8" t="s">
        <v>77</v>
      </c>
      <c r="P11" s="8" t="s">
        <v>78</v>
      </c>
      <c r="Q11" s="8" t="s">
        <v>78</v>
      </c>
      <c r="R11" s="8"/>
      <c r="S11" s="8"/>
      <c r="T11" s="8"/>
      <c r="U11" s="8"/>
      <c r="V11" s="8"/>
      <c r="W11" s="8"/>
      <c r="X11" s="8"/>
      <c r="Y11" s="8"/>
      <c r="Z11" s="9" t="s">
        <v>195</v>
      </c>
    </row>
    <row r="12" spans="1:26" ht="13.4" customHeight="1">
      <c r="A12" s="145" t="s">
        <v>196</v>
      </c>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spans="1:26" ht="70">
      <c r="A13" s="3" t="s">
        <v>197</v>
      </c>
      <c r="B13" s="3" t="s">
        <v>75</v>
      </c>
      <c r="C13" s="3" t="s">
        <v>198</v>
      </c>
      <c r="D13" s="7" t="s">
        <v>112</v>
      </c>
      <c r="E13" s="7" t="s">
        <v>112</v>
      </c>
      <c r="F13" s="7">
        <v>81948</v>
      </c>
      <c r="G13" s="7">
        <v>81929</v>
      </c>
      <c r="H13" s="7">
        <v>74828</v>
      </c>
      <c r="I13" s="7">
        <v>101496</v>
      </c>
      <c r="J13" s="7">
        <v>105477</v>
      </c>
      <c r="K13" s="7">
        <v>123008</v>
      </c>
      <c r="L13" s="7">
        <v>150738</v>
      </c>
      <c r="M13" s="7">
        <v>197069</v>
      </c>
      <c r="N13" s="7" t="s">
        <v>143</v>
      </c>
      <c r="O13" s="8"/>
      <c r="P13" s="8"/>
      <c r="Q13" s="8" t="s">
        <v>79</v>
      </c>
      <c r="R13" s="8" t="s">
        <v>79</v>
      </c>
      <c r="S13" s="8" t="s">
        <v>80</v>
      </c>
      <c r="T13" s="8" t="s">
        <v>81</v>
      </c>
      <c r="U13" s="8" t="s">
        <v>82</v>
      </c>
      <c r="V13" s="8" t="s">
        <v>179</v>
      </c>
      <c r="W13" s="8" t="s">
        <v>179</v>
      </c>
      <c r="X13" s="8" t="s">
        <v>180</v>
      </c>
      <c r="Y13" s="8"/>
      <c r="Z13" s="9" t="s">
        <v>199</v>
      </c>
    </row>
    <row r="14" spans="1:26" ht="42">
      <c r="A14" s="3" t="s">
        <v>200</v>
      </c>
      <c r="B14" s="3" t="s">
        <v>201</v>
      </c>
      <c r="C14" s="3" t="s">
        <v>202</v>
      </c>
      <c r="D14" s="7"/>
      <c r="E14" s="7"/>
      <c r="F14" s="7"/>
      <c r="G14" s="7" t="s">
        <v>203</v>
      </c>
      <c r="H14" s="7" t="s">
        <v>203</v>
      </c>
      <c r="I14" s="7" t="s">
        <v>203</v>
      </c>
      <c r="J14" s="7" t="s">
        <v>203</v>
      </c>
      <c r="K14" s="7" t="s">
        <v>203</v>
      </c>
      <c r="L14" s="7" t="s">
        <v>203</v>
      </c>
      <c r="M14" s="7" t="s">
        <v>203</v>
      </c>
      <c r="N14" s="7" t="s">
        <v>203</v>
      </c>
      <c r="O14" s="8"/>
      <c r="P14" s="8"/>
      <c r="Q14" s="8"/>
      <c r="R14" s="8" t="s">
        <v>79</v>
      </c>
      <c r="S14" s="8" t="s">
        <v>80</v>
      </c>
      <c r="T14" s="8" t="s">
        <v>81</v>
      </c>
      <c r="U14" s="8" t="s">
        <v>82</v>
      </c>
      <c r="V14" s="8" t="s">
        <v>179</v>
      </c>
      <c r="W14" s="8" t="s">
        <v>179</v>
      </c>
      <c r="X14" s="8" t="s">
        <v>180</v>
      </c>
      <c r="Y14" s="8" t="s">
        <v>86</v>
      </c>
      <c r="Z14" s="9" t="s">
        <v>204</v>
      </c>
    </row>
    <row r="15" spans="1:26" ht="13.4" customHeight="1">
      <c r="A15" s="145" t="s">
        <v>205</v>
      </c>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spans="1:26" ht="23">
      <c r="A16" s="3" t="s">
        <v>206</v>
      </c>
      <c r="B16" s="3" t="s">
        <v>75</v>
      </c>
      <c r="C16" s="3" t="s">
        <v>207</v>
      </c>
      <c r="D16" s="7">
        <v>26676</v>
      </c>
      <c r="E16" s="7">
        <v>31211</v>
      </c>
      <c r="F16" s="7">
        <v>41165</v>
      </c>
      <c r="G16" s="7">
        <v>15294</v>
      </c>
      <c r="H16" s="7">
        <v>13727</v>
      </c>
      <c r="I16" s="7">
        <v>14476</v>
      </c>
      <c r="J16" s="7">
        <v>25429</v>
      </c>
      <c r="K16" s="7">
        <v>76221</v>
      </c>
      <c r="L16" s="7">
        <v>51243</v>
      </c>
      <c r="M16" s="7">
        <v>55900</v>
      </c>
      <c r="N16" s="7">
        <v>69100</v>
      </c>
      <c r="O16" s="8" t="s">
        <v>77</v>
      </c>
      <c r="P16" s="8" t="s">
        <v>78</v>
      </c>
      <c r="Q16" s="8" t="s">
        <v>78</v>
      </c>
      <c r="R16" s="8" t="s">
        <v>79</v>
      </c>
      <c r="S16" s="8" t="s">
        <v>80</v>
      </c>
      <c r="T16" s="8" t="s">
        <v>81</v>
      </c>
      <c r="U16" s="8" t="s">
        <v>82</v>
      </c>
      <c r="V16" s="8" t="s">
        <v>179</v>
      </c>
      <c r="W16" s="8" t="s">
        <v>179</v>
      </c>
      <c r="X16" s="8" t="s">
        <v>180</v>
      </c>
      <c r="Y16" s="8" t="s">
        <v>86</v>
      </c>
      <c r="Z16" s="9" t="s">
        <v>208</v>
      </c>
    </row>
    <row r="17" spans="1:26" ht="28">
      <c r="A17" s="3" t="s">
        <v>209</v>
      </c>
      <c r="B17" s="3" t="s">
        <v>75</v>
      </c>
      <c r="C17" s="3" t="s">
        <v>210</v>
      </c>
      <c r="D17" s="7" t="s">
        <v>112</v>
      </c>
      <c r="E17" s="7" t="s">
        <v>112</v>
      </c>
      <c r="F17" s="7" t="s">
        <v>112</v>
      </c>
      <c r="G17" s="7" t="s">
        <v>112</v>
      </c>
      <c r="H17" s="7" t="s">
        <v>112</v>
      </c>
      <c r="I17" s="7" t="s">
        <v>112</v>
      </c>
      <c r="J17" s="7" t="s">
        <v>112</v>
      </c>
      <c r="K17" s="7">
        <v>55205</v>
      </c>
      <c r="L17" s="7">
        <v>33081</v>
      </c>
      <c r="M17" s="7" t="s">
        <v>112</v>
      </c>
      <c r="N17" s="7" t="s">
        <v>112</v>
      </c>
      <c r="O17" s="8"/>
      <c r="P17" s="8"/>
      <c r="Q17" s="8"/>
      <c r="R17" s="8"/>
      <c r="S17" s="8"/>
      <c r="T17" s="8"/>
      <c r="U17" s="8"/>
      <c r="V17" s="8" t="s">
        <v>179</v>
      </c>
      <c r="W17" s="8" t="s">
        <v>179</v>
      </c>
      <c r="X17" s="8"/>
      <c r="Y17" s="8"/>
      <c r="Z17" s="9" t="s">
        <v>211</v>
      </c>
    </row>
    <row r="18" spans="1:26" ht="28">
      <c r="A18" s="3" t="s">
        <v>212</v>
      </c>
      <c r="B18" s="3" t="s">
        <v>75</v>
      </c>
      <c r="C18" s="3" t="s">
        <v>210</v>
      </c>
      <c r="D18" s="7" t="s">
        <v>112</v>
      </c>
      <c r="E18" s="7" t="s">
        <v>112</v>
      </c>
      <c r="F18" s="7" t="s">
        <v>112</v>
      </c>
      <c r="G18" s="7" t="s">
        <v>112</v>
      </c>
      <c r="H18" s="7" t="s">
        <v>112</v>
      </c>
      <c r="I18" s="7" t="s">
        <v>112</v>
      </c>
      <c r="J18" s="7" t="s">
        <v>112</v>
      </c>
      <c r="K18" s="7">
        <v>17165</v>
      </c>
      <c r="L18" s="7">
        <v>15753</v>
      </c>
      <c r="M18" s="7" t="s">
        <v>112</v>
      </c>
      <c r="N18" s="7" t="s">
        <v>112</v>
      </c>
      <c r="O18" s="8"/>
      <c r="P18" s="8"/>
      <c r="Q18" s="8"/>
      <c r="R18" s="8"/>
      <c r="S18" s="8"/>
      <c r="T18" s="8"/>
      <c r="U18" s="8"/>
      <c r="V18" s="8" t="s">
        <v>179</v>
      </c>
      <c r="W18" s="8" t="s">
        <v>179</v>
      </c>
      <c r="X18" s="8"/>
      <c r="Y18" s="8"/>
      <c r="Z18" s="9" t="s">
        <v>211</v>
      </c>
    </row>
    <row r="19" spans="1:26" ht="28">
      <c r="A19" s="3" t="s">
        <v>213</v>
      </c>
      <c r="B19" s="3" t="s">
        <v>75</v>
      </c>
      <c r="C19" s="3" t="s">
        <v>210</v>
      </c>
      <c r="D19" s="7" t="s">
        <v>112</v>
      </c>
      <c r="E19" s="7" t="s">
        <v>112</v>
      </c>
      <c r="F19" s="7" t="s">
        <v>112</v>
      </c>
      <c r="G19" s="7" t="s">
        <v>112</v>
      </c>
      <c r="H19" s="7" t="s">
        <v>112</v>
      </c>
      <c r="I19" s="7" t="s">
        <v>112</v>
      </c>
      <c r="J19" s="7" t="s">
        <v>112</v>
      </c>
      <c r="K19" s="7">
        <v>3851</v>
      </c>
      <c r="L19" s="7">
        <v>2410</v>
      </c>
      <c r="M19" s="7" t="s">
        <v>112</v>
      </c>
      <c r="N19" s="7" t="s">
        <v>112</v>
      </c>
      <c r="O19" s="8"/>
      <c r="P19" s="8"/>
      <c r="Q19" s="8"/>
      <c r="R19" s="8"/>
      <c r="S19" s="8"/>
      <c r="T19" s="8"/>
      <c r="U19" s="8"/>
      <c r="V19" s="8" t="s">
        <v>179</v>
      </c>
      <c r="W19" s="8" t="s">
        <v>179</v>
      </c>
      <c r="X19" s="8"/>
      <c r="Y19" s="8"/>
      <c r="Z19" s="9" t="s">
        <v>211</v>
      </c>
    </row>
    <row r="20" spans="1:26" ht="13.4" customHeight="1">
      <c r="A20" s="145" t="s">
        <v>214</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spans="1:26" ht="70">
      <c r="A21" s="3" t="s">
        <v>215</v>
      </c>
      <c r="B21" s="3" t="s">
        <v>75</v>
      </c>
      <c r="C21" s="3" t="s">
        <v>216</v>
      </c>
      <c r="D21" s="7">
        <v>121688</v>
      </c>
      <c r="E21" s="7">
        <v>138453</v>
      </c>
      <c r="F21" s="7">
        <v>145371</v>
      </c>
      <c r="G21" s="7">
        <v>144862</v>
      </c>
      <c r="H21" s="7">
        <v>138224</v>
      </c>
      <c r="I21" s="7">
        <v>154020</v>
      </c>
      <c r="J21" s="7">
        <v>164617</v>
      </c>
      <c r="K21" s="7">
        <v>399443</v>
      </c>
      <c r="L21" s="7">
        <v>459825</v>
      </c>
      <c r="M21" s="7" t="s">
        <v>143</v>
      </c>
      <c r="N21" s="7" t="s">
        <v>143</v>
      </c>
      <c r="O21" s="8" t="s">
        <v>77</v>
      </c>
      <c r="P21" s="8" t="s">
        <v>78</v>
      </c>
      <c r="Q21" s="8" t="s">
        <v>78</v>
      </c>
      <c r="R21" s="8" t="s">
        <v>79</v>
      </c>
      <c r="S21" s="8" t="s">
        <v>80</v>
      </c>
      <c r="T21" s="8" t="s">
        <v>81</v>
      </c>
      <c r="U21" s="8" t="s">
        <v>82</v>
      </c>
      <c r="V21" s="8" t="s">
        <v>179</v>
      </c>
      <c r="W21" s="8" t="s">
        <v>179</v>
      </c>
      <c r="X21" s="8" t="s">
        <v>180</v>
      </c>
      <c r="Y21" s="8" t="s">
        <v>86</v>
      </c>
      <c r="Z21" s="9" t="s">
        <v>217</v>
      </c>
    </row>
    <row r="22" spans="1:26" ht="70">
      <c r="A22" s="3" t="s">
        <v>218</v>
      </c>
      <c r="B22" s="3" t="s">
        <v>75</v>
      </c>
      <c r="C22" s="3" t="s">
        <v>219</v>
      </c>
      <c r="D22" s="7" t="s">
        <v>112</v>
      </c>
      <c r="E22" s="7" t="s">
        <v>112</v>
      </c>
      <c r="F22" s="7" t="s">
        <v>112</v>
      </c>
      <c r="G22" s="7">
        <v>60718</v>
      </c>
      <c r="H22" s="7">
        <v>63500</v>
      </c>
      <c r="I22" s="7">
        <v>67139</v>
      </c>
      <c r="J22" s="7">
        <v>87944</v>
      </c>
      <c r="K22" s="7">
        <v>213696</v>
      </c>
      <c r="L22" s="7">
        <v>245083</v>
      </c>
      <c r="M22" s="7" t="s">
        <v>143</v>
      </c>
      <c r="N22" s="7" t="s">
        <v>143</v>
      </c>
      <c r="O22" s="8"/>
      <c r="P22" s="8"/>
      <c r="Q22" s="8"/>
      <c r="R22" s="8" t="s">
        <v>79</v>
      </c>
      <c r="S22" s="8" t="s">
        <v>80</v>
      </c>
      <c r="T22" s="8" t="s">
        <v>81</v>
      </c>
      <c r="U22" s="8" t="s">
        <v>82</v>
      </c>
      <c r="V22" s="8" t="s">
        <v>179</v>
      </c>
      <c r="W22" s="8" t="s">
        <v>179</v>
      </c>
      <c r="X22" s="8"/>
      <c r="Y22" s="8"/>
      <c r="Z22" s="9" t="s">
        <v>220</v>
      </c>
    </row>
    <row r="23" spans="1:26" ht="70">
      <c r="A23" s="3" t="s">
        <v>221</v>
      </c>
      <c r="B23" s="3" t="s">
        <v>75</v>
      </c>
      <c r="C23" s="3" t="s">
        <v>222</v>
      </c>
      <c r="D23" s="7" t="s">
        <v>112</v>
      </c>
      <c r="E23" s="7" t="s">
        <v>112</v>
      </c>
      <c r="F23" s="7" t="s">
        <v>112</v>
      </c>
      <c r="G23" s="7">
        <v>359013</v>
      </c>
      <c r="H23" s="7">
        <v>359508</v>
      </c>
      <c r="I23" s="7">
        <v>419012</v>
      </c>
      <c r="J23" s="7">
        <v>462231</v>
      </c>
      <c r="K23" s="7">
        <v>857632</v>
      </c>
      <c r="L23" s="7">
        <v>975530</v>
      </c>
      <c r="M23" s="7">
        <v>1059195</v>
      </c>
      <c r="N23" s="7" t="s">
        <v>143</v>
      </c>
      <c r="O23" s="8"/>
      <c r="P23" s="8"/>
      <c r="Q23" s="8"/>
      <c r="R23" s="8" t="s">
        <v>79</v>
      </c>
      <c r="S23" s="8" t="s">
        <v>80</v>
      </c>
      <c r="T23" s="8" t="s">
        <v>81</v>
      </c>
      <c r="U23" s="8" t="s">
        <v>82</v>
      </c>
      <c r="V23" s="8" t="s">
        <v>179</v>
      </c>
      <c r="W23" s="8" t="s">
        <v>179</v>
      </c>
      <c r="X23" s="8" t="s">
        <v>223</v>
      </c>
      <c r="Y23" s="8"/>
      <c r="Z23" s="9" t="s">
        <v>224</v>
      </c>
    </row>
    <row r="24" spans="1:26" ht="28">
      <c r="A24" s="3" t="s">
        <v>225</v>
      </c>
      <c r="B24" s="3" t="s">
        <v>75</v>
      </c>
      <c r="C24" s="3" t="s">
        <v>226</v>
      </c>
      <c r="D24" s="7" t="s">
        <v>112</v>
      </c>
      <c r="E24" s="7" t="s">
        <v>112</v>
      </c>
      <c r="F24" s="7" t="s">
        <v>112</v>
      </c>
      <c r="G24" s="7" t="s">
        <v>112</v>
      </c>
      <c r="H24" s="7" t="s">
        <v>112</v>
      </c>
      <c r="I24" s="7" t="s">
        <v>112</v>
      </c>
      <c r="J24" s="7" t="s">
        <v>112</v>
      </c>
      <c r="K24" s="7" t="s">
        <v>112</v>
      </c>
      <c r="L24" s="7" t="s">
        <v>112</v>
      </c>
      <c r="M24" s="7">
        <v>502100</v>
      </c>
      <c r="N24" s="7">
        <v>536200</v>
      </c>
      <c r="O24" s="8"/>
      <c r="P24" s="8"/>
      <c r="Q24" s="8"/>
      <c r="R24" s="8"/>
      <c r="S24" s="8"/>
      <c r="T24" s="8"/>
      <c r="U24" s="8"/>
      <c r="V24" s="8"/>
      <c r="W24" s="8"/>
      <c r="X24" s="8" t="s">
        <v>86</v>
      </c>
      <c r="Y24" s="8" t="s">
        <v>86</v>
      </c>
      <c r="Z24" s="9" t="s">
        <v>227</v>
      </c>
    </row>
    <row r="25" spans="1:26" ht="13.4" customHeight="1">
      <c r="A25" s="145" t="s">
        <v>228</v>
      </c>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spans="1:26" ht="70">
      <c r="A26" s="3" t="s">
        <v>229</v>
      </c>
      <c r="B26" s="3" t="s">
        <v>75</v>
      </c>
      <c r="C26" s="3" t="s">
        <v>230</v>
      </c>
      <c r="D26" s="7" t="s">
        <v>112</v>
      </c>
      <c r="E26" s="7" t="s">
        <v>112</v>
      </c>
      <c r="F26" s="7">
        <v>213791</v>
      </c>
      <c r="G26" s="7">
        <v>218774</v>
      </c>
      <c r="H26" s="7">
        <v>256740</v>
      </c>
      <c r="I26" s="7">
        <v>270224</v>
      </c>
      <c r="J26" s="7">
        <v>283854</v>
      </c>
      <c r="K26" s="7">
        <v>441816</v>
      </c>
      <c r="L26" s="7">
        <v>506883</v>
      </c>
      <c r="M26" s="7">
        <v>495570</v>
      </c>
      <c r="N26" s="7" t="s">
        <v>143</v>
      </c>
      <c r="O26" s="8"/>
      <c r="P26" s="8"/>
      <c r="Q26" s="8" t="s">
        <v>79</v>
      </c>
      <c r="R26" s="8" t="s">
        <v>79</v>
      </c>
      <c r="S26" s="8" t="s">
        <v>80</v>
      </c>
      <c r="T26" s="8" t="s">
        <v>81</v>
      </c>
      <c r="U26" s="8" t="s">
        <v>82</v>
      </c>
      <c r="V26" s="8" t="s">
        <v>179</v>
      </c>
      <c r="W26" s="8" t="s">
        <v>179</v>
      </c>
      <c r="X26" s="8" t="s">
        <v>180</v>
      </c>
      <c r="Y26" s="8"/>
      <c r="Z26" s="9" t="s">
        <v>231</v>
      </c>
    </row>
    <row r="27" spans="1:26" ht="28">
      <c r="A27" s="3" t="s">
        <v>232</v>
      </c>
      <c r="B27" s="3" t="s">
        <v>75</v>
      </c>
      <c r="C27" s="3" t="s">
        <v>233</v>
      </c>
      <c r="D27" s="7" t="s">
        <v>112</v>
      </c>
      <c r="E27" s="7" t="s">
        <v>112</v>
      </c>
      <c r="F27" s="7" t="s">
        <v>112</v>
      </c>
      <c r="G27" s="7" t="s">
        <v>112</v>
      </c>
      <c r="H27" s="7" t="s">
        <v>112</v>
      </c>
      <c r="I27" s="7" t="s">
        <v>112</v>
      </c>
      <c r="J27" s="7" t="s">
        <v>112</v>
      </c>
      <c r="K27" s="7">
        <v>417940</v>
      </c>
      <c r="L27" s="7">
        <v>480651</v>
      </c>
      <c r="M27" s="7">
        <v>471839</v>
      </c>
      <c r="N27" s="7">
        <v>500700</v>
      </c>
      <c r="O27" s="8"/>
      <c r="P27" s="8"/>
      <c r="Q27" s="8"/>
      <c r="R27" s="8"/>
      <c r="S27" s="8"/>
      <c r="T27" s="8"/>
      <c r="U27" s="8"/>
      <c r="V27" s="8" t="s">
        <v>84</v>
      </c>
      <c r="W27" s="8" t="s">
        <v>84</v>
      </c>
      <c r="X27" s="8" t="s">
        <v>85</v>
      </c>
      <c r="Y27" s="8" t="s">
        <v>86</v>
      </c>
      <c r="Z27" s="9" t="s">
        <v>234</v>
      </c>
    </row>
    <row r="28" spans="1:26" ht="28">
      <c r="A28" s="3" t="s">
        <v>235</v>
      </c>
      <c r="B28" s="3" t="s">
        <v>75</v>
      </c>
      <c r="C28" s="3" t="s">
        <v>236</v>
      </c>
      <c r="D28" s="7">
        <v>167738</v>
      </c>
      <c r="E28" s="7">
        <v>180827</v>
      </c>
      <c r="F28" s="7">
        <v>209746</v>
      </c>
      <c r="G28" s="7" t="s">
        <v>112</v>
      </c>
      <c r="H28" s="7" t="s">
        <v>112</v>
      </c>
      <c r="I28" s="7" t="s">
        <v>112</v>
      </c>
      <c r="J28" s="7" t="s">
        <v>112</v>
      </c>
      <c r="K28" s="7" t="s">
        <v>112</v>
      </c>
      <c r="L28" s="7" t="s">
        <v>112</v>
      </c>
      <c r="M28" s="7" t="s">
        <v>112</v>
      </c>
      <c r="N28" s="7" t="s">
        <v>112</v>
      </c>
      <c r="O28" s="8" t="s">
        <v>77</v>
      </c>
      <c r="P28" s="8" t="s">
        <v>78</v>
      </c>
      <c r="Q28" s="8" t="s">
        <v>78</v>
      </c>
      <c r="R28" s="8"/>
      <c r="S28" s="8"/>
      <c r="T28" s="8"/>
      <c r="U28" s="8"/>
      <c r="V28" s="8"/>
      <c r="W28" s="8"/>
      <c r="X28" s="8"/>
      <c r="Y28" s="8"/>
      <c r="Z28" s="9" t="s">
        <v>237</v>
      </c>
    </row>
    <row r="29" spans="1:26" ht="28">
      <c r="A29" s="3" t="s">
        <v>238</v>
      </c>
      <c r="B29" s="3" t="s">
        <v>75</v>
      </c>
      <c r="C29" s="3" t="s">
        <v>239</v>
      </c>
      <c r="D29" s="7" t="s">
        <v>112</v>
      </c>
      <c r="E29" s="7" t="s">
        <v>112</v>
      </c>
      <c r="F29" s="7" t="s">
        <v>112</v>
      </c>
      <c r="G29" s="7" t="s">
        <v>112</v>
      </c>
      <c r="H29" s="7" t="s">
        <v>112</v>
      </c>
      <c r="I29" s="7" t="s">
        <v>112</v>
      </c>
      <c r="J29" s="7" t="s">
        <v>112</v>
      </c>
      <c r="K29" s="7">
        <v>163503</v>
      </c>
      <c r="L29" s="7">
        <v>269947</v>
      </c>
      <c r="M29" s="7">
        <v>264608</v>
      </c>
      <c r="N29" s="7" t="s">
        <v>112</v>
      </c>
      <c r="O29" s="8"/>
      <c r="P29" s="8"/>
      <c r="Q29" s="8"/>
      <c r="R29" s="8"/>
      <c r="S29" s="8"/>
      <c r="T29" s="8"/>
      <c r="U29" s="8"/>
      <c r="V29" s="8" t="s">
        <v>179</v>
      </c>
      <c r="W29" s="8" t="s">
        <v>179</v>
      </c>
      <c r="X29" s="8" t="s">
        <v>180</v>
      </c>
      <c r="Y29" s="8"/>
      <c r="Z29" s="9" t="s">
        <v>240</v>
      </c>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10">
    <mergeCell ref="A5:Z5"/>
    <mergeCell ref="A12:Z12"/>
    <mergeCell ref="A15:Z15"/>
    <mergeCell ref="A20:Z20"/>
    <mergeCell ref="A25:Z25"/>
    <mergeCell ref="A1:Z1"/>
    <mergeCell ref="A2:Z2"/>
    <mergeCell ref="A3:C3"/>
    <mergeCell ref="D3:N3"/>
    <mergeCell ref="O3:Y3"/>
  </mergeCells>
  <conditionalFormatting sqref="D5:N120">
    <cfRule type="expression" dxfId="10" priority="1">
      <formula>LEFT(D5,3)="N/A"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workbookViewId="0"/>
  </sheetViews>
  <sheetFormatPr defaultRowHeight="14"/>
  <cols>
    <col min="1" max="1" width="34" customWidth="1"/>
    <col min="2" max="2" width="14" customWidth="1"/>
    <col min="3" max="3" width="42" customWidth="1"/>
    <col min="4" max="14" width="13" customWidth="1"/>
    <col min="15" max="25" width="10" customWidth="1"/>
    <col min="26" max="26" width="48" customWidth="1"/>
  </cols>
  <sheetData>
    <row r="1" spans="1:26" ht="18.649999999999999" customHeight="1">
      <c r="A1" s="140" t="s">
        <v>241</v>
      </c>
      <c r="B1" s="140"/>
      <c r="C1" s="140"/>
      <c r="D1" s="140"/>
      <c r="E1" s="140"/>
      <c r="F1" s="140"/>
      <c r="G1" s="140"/>
      <c r="H1" s="140"/>
      <c r="I1" s="140"/>
      <c r="J1" s="140"/>
      <c r="K1" s="140"/>
      <c r="L1" s="140"/>
      <c r="M1" s="140"/>
      <c r="N1" s="140"/>
      <c r="O1" s="140"/>
      <c r="P1" s="140"/>
      <c r="Q1" s="140"/>
      <c r="R1" s="140"/>
      <c r="S1" s="140"/>
      <c r="T1" s="140"/>
      <c r="U1" s="140"/>
      <c r="V1" s="140"/>
      <c r="W1" s="140"/>
      <c r="X1" s="140"/>
      <c r="Y1" s="140"/>
      <c r="Z1" s="140"/>
    </row>
    <row r="2" spans="1:26" ht="21.4" customHeight="1">
      <c r="A2" s="141" t="s">
        <v>242</v>
      </c>
      <c r="B2" s="141"/>
      <c r="C2" s="141"/>
      <c r="D2" s="141"/>
      <c r="E2" s="141"/>
      <c r="F2" s="141"/>
      <c r="G2" s="141"/>
      <c r="H2" s="141"/>
      <c r="I2" s="141"/>
      <c r="J2" s="141"/>
      <c r="K2" s="141"/>
      <c r="L2" s="141"/>
      <c r="M2" s="141"/>
      <c r="N2" s="141"/>
      <c r="O2" s="141"/>
      <c r="P2" s="141"/>
      <c r="Q2" s="141"/>
      <c r="R2" s="141"/>
      <c r="S2" s="141"/>
      <c r="T2" s="141"/>
      <c r="U2" s="141"/>
      <c r="V2" s="141"/>
      <c r="W2" s="141"/>
      <c r="X2" s="141"/>
      <c r="Y2" s="141"/>
      <c r="Z2" s="141"/>
    </row>
    <row r="3" spans="1:26">
      <c r="A3" s="144" t="s">
        <v>55</v>
      </c>
      <c r="B3" s="144"/>
      <c r="C3" s="144"/>
      <c r="D3" s="144" t="s">
        <v>56</v>
      </c>
      <c r="E3" s="144"/>
      <c r="F3" s="144"/>
      <c r="G3" s="144"/>
      <c r="H3" s="144"/>
      <c r="I3" s="144"/>
      <c r="J3" s="144"/>
      <c r="K3" s="144"/>
      <c r="L3" s="144"/>
      <c r="M3" s="144"/>
      <c r="N3" s="144"/>
      <c r="O3" s="144" t="s">
        <v>57</v>
      </c>
      <c r="P3" s="144"/>
      <c r="Q3" s="144"/>
      <c r="R3" s="144"/>
      <c r="S3" s="144"/>
      <c r="T3" s="144"/>
      <c r="U3" s="144"/>
      <c r="V3" s="144"/>
      <c r="W3" s="144"/>
      <c r="X3" s="144"/>
      <c r="Y3" s="144"/>
      <c r="Z3" s="5" t="s">
        <v>58</v>
      </c>
    </row>
    <row r="4" spans="1:26">
      <c r="A4" s="6" t="s">
        <v>59</v>
      </c>
      <c r="B4" s="6" t="s">
        <v>60</v>
      </c>
      <c r="C4" s="6" t="s">
        <v>61</v>
      </c>
      <c r="D4" s="6" t="s">
        <v>62</v>
      </c>
      <c r="E4" s="6" t="s">
        <v>63</v>
      </c>
      <c r="F4" s="6" t="s">
        <v>64</v>
      </c>
      <c r="G4" s="6" t="s">
        <v>65</v>
      </c>
      <c r="H4" s="6" t="s">
        <v>66</v>
      </c>
      <c r="I4" s="6" t="s">
        <v>67</v>
      </c>
      <c r="J4" s="6" t="s">
        <v>68</v>
      </c>
      <c r="K4" s="6" t="s">
        <v>69</v>
      </c>
      <c r="L4" s="6" t="s">
        <v>70</v>
      </c>
      <c r="M4" s="6" t="s">
        <v>71</v>
      </c>
      <c r="N4" s="6" t="s">
        <v>72</v>
      </c>
      <c r="O4" s="6" t="s">
        <v>62</v>
      </c>
      <c r="P4" s="6" t="s">
        <v>63</v>
      </c>
      <c r="Q4" s="6" t="s">
        <v>64</v>
      </c>
      <c r="R4" s="6" t="s">
        <v>65</v>
      </c>
      <c r="S4" s="6" t="s">
        <v>66</v>
      </c>
      <c r="T4" s="6" t="s">
        <v>67</v>
      </c>
      <c r="U4" s="6" t="s">
        <v>68</v>
      </c>
      <c r="V4" s="6" t="s">
        <v>69</v>
      </c>
      <c r="W4" s="6" t="s">
        <v>70</v>
      </c>
      <c r="X4" s="6" t="s">
        <v>71</v>
      </c>
      <c r="Y4" s="6" t="s">
        <v>72</v>
      </c>
      <c r="Z4" s="6" t="s">
        <v>58</v>
      </c>
    </row>
    <row r="5" spans="1:26" ht="13.4" customHeight="1">
      <c r="A5" s="145" t="s">
        <v>243</v>
      </c>
      <c r="B5" s="145"/>
      <c r="C5" s="145"/>
      <c r="D5" s="145"/>
      <c r="E5" s="145"/>
      <c r="F5" s="145"/>
      <c r="G5" s="145"/>
      <c r="H5" s="145"/>
      <c r="I5" s="145"/>
      <c r="J5" s="145"/>
      <c r="K5" s="145"/>
      <c r="L5" s="145"/>
      <c r="M5" s="145"/>
      <c r="N5" s="145"/>
      <c r="O5" s="145"/>
      <c r="P5" s="145"/>
      <c r="Q5" s="145"/>
      <c r="R5" s="145"/>
      <c r="S5" s="145"/>
      <c r="T5" s="145"/>
      <c r="U5" s="145"/>
      <c r="V5" s="145"/>
      <c r="W5" s="145"/>
      <c r="X5" s="145"/>
      <c r="Y5" s="145"/>
      <c r="Z5" s="145"/>
    </row>
    <row r="6" spans="1:26" ht="28">
      <c r="A6" s="3" t="s">
        <v>244</v>
      </c>
      <c r="B6" s="3" t="s">
        <v>75</v>
      </c>
      <c r="C6" s="3" t="s">
        <v>245</v>
      </c>
      <c r="D6" s="7">
        <v>232751</v>
      </c>
      <c r="E6" s="7">
        <v>238552</v>
      </c>
      <c r="F6" s="7">
        <v>232282</v>
      </c>
      <c r="G6" s="7">
        <v>242000</v>
      </c>
      <c r="H6" s="7">
        <v>280000</v>
      </c>
      <c r="I6" s="7">
        <v>352500</v>
      </c>
      <c r="J6" s="7">
        <v>310400</v>
      </c>
      <c r="K6" s="7">
        <v>350600</v>
      </c>
      <c r="L6" s="7">
        <v>498789</v>
      </c>
      <c r="M6" s="7">
        <v>397148</v>
      </c>
      <c r="N6" s="7" t="s">
        <v>112</v>
      </c>
      <c r="O6" s="8" t="s">
        <v>77</v>
      </c>
      <c r="P6" s="8" t="s">
        <v>78</v>
      </c>
      <c r="Q6" s="8" t="s">
        <v>78</v>
      </c>
      <c r="R6" s="8" t="s">
        <v>100</v>
      </c>
      <c r="S6" s="8" t="s">
        <v>100</v>
      </c>
      <c r="T6" s="8" t="s">
        <v>100</v>
      </c>
      <c r="U6" s="8" t="s">
        <v>100</v>
      </c>
      <c r="V6" s="8" t="s">
        <v>100</v>
      </c>
      <c r="W6" s="8" t="s">
        <v>85</v>
      </c>
      <c r="X6" s="8" t="s">
        <v>85</v>
      </c>
      <c r="Y6" s="8" t="s">
        <v>86</v>
      </c>
      <c r="Z6" s="9" t="s">
        <v>246</v>
      </c>
    </row>
    <row r="7" spans="1:26" ht="28">
      <c r="A7" s="3" t="s">
        <v>247</v>
      </c>
      <c r="B7" s="3" t="s">
        <v>75</v>
      </c>
      <c r="C7" s="3" t="s">
        <v>248</v>
      </c>
      <c r="D7" s="7">
        <v>-188730</v>
      </c>
      <c r="E7" s="7">
        <v>-428354</v>
      </c>
      <c r="F7" s="7">
        <v>-208030</v>
      </c>
      <c r="G7" s="7">
        <v>-186900</v>
      </c>
      <c r="H7" s="7">
        <v>-257200</v>
      </c>
      <c r="I7" s="7">
        <v>-173900</v>
      </c>
      <c r="J7" s="7">
        <v>-196500</v>
      </c>
      <c r="K7" s="7">
        <v>-322300</v>
      </c>
      <c r="L7" s="7">
        <v>-624508</v>
      </c>
      <c r="M7" s="7">
        <v>-669743</v>
      </c>
      <c r="N7" s="7" t="s">
        <v>112</v>
      </c>
      <c r="O7" s="8" t="s">
        <v>77</v>
      </c>
      <c r="P7" s="8" t="s">
        <v>78</v>
      </c>
      <c r="Q7" s="8" t="s">
        <v>78</v>
      </c>
      <c r="R7" s="8" t="s">
        <v>100</v>
      </c>
      <c r="S7" s="8" t="s">
        <v>100</v>
      </c>
      <c r="T7" s="8" t="s">
        <v>100</v>
      </c>
      <c r="U7" s="8" t="s">
        <v>100</v>
      </c>
      <c r="V7" s="8" t="s">
        <v>100</v>
      </c>
      <c r="W7" s="8" t="s">
        <v>85</v>
      </c>
      <c r="X7" s="8" t="s">
        <v>85</v>
      </c>
      <c r="Y7" s="8" t="s">
        <v>86</v>
      </c>
      <c r="Z7" s="9" t="s">
        <v>249</v>
      </c>
    </row>
    <row r="8" spans="1:26" ht="28">
      <c r="A8" s="3" t="s">
        <v>250</v>
      </c>
      <c r="B8" s="3" t="s">
        <v>75</v>
      </c>
      <c r="C8" s="3" t="s">
        <v>251</v>
      </c>
      <c r="D8" s="7">
        <v>-58179</v>
      </c>
      <c r="E8" s="7">
        <v>222076</v>
      </c>
      <c r="F8" s="7">
        <v>-88896</v>
      </c>
      <c r="G8" s="7">
        <v>5500</v>
      </c>
      <c r="H8" s="7">
        <v>-66100</v>
      </c>
      <c r="I8" s="7">
        <v>-101600</v>
      </c>
      <c r="J8" s="7">
        <v>-166500</v>
      </c>
      <c r="K8" s="7">
        <v>135700</v>
      </c>
      <c r="L8" s="7">
        <v>109166</v>
      </c>
      <c r="M8" s="7">
        <v>289409</v>
      </c>
      <c r="N8" s="7" t="s">
        <v>112</v>
      </c>
      <c r="O8" s="8" t="s">
        <v>77</v>
      </c>
      <c r="P8" s="8" t="s">
        <v>78</v>
      </c>
      <c r="Q8" s="8" t="s">
        <v>78</v>
      </c>
      <c r="R8" s="8" t="s">
        <v>100</v>
      </c>
      <c r="S8" s="8" t="s">
        <v>100</v>
      </c>
      <c r="T8" s="8" t="s">
        <v>100</v>
      </c>
      <c r="U8" s="8" t="s">
        <v>100</v>
      </c>
      <c r="V8" s="8" t="s">
        <v>100</v>
      </c>
      <c r="W8" s="8" t="s">
        <v>85</v>
      </c>
      <c r="X8" s="8" t="s">
        <v>85</v>
      </c>
      <c r="Y8" s="8" t="s">
        <v>86</v>
      </c>
      <c r="Z8" s="9" t="s">
        <v>249</v>
      </c>
    </row>
    <row r="9" spans="1:26" ht="42">
      <c r="A9" s="3" t="s">
        <v>252</v>
      </c>
      <c r="B9" s="3" t="s">
        <v>75</v>
      </c>
      <c r="C9" s="3" t="s">
        <v>253</v>
      </c>
      <c r="D9" s="7">
        <v>233553</v>
      </c>
      <c r="E9" s="7">
        <v>260038</v>
      </c>
      <c r="F9" s="7">
        <v>190070</v>
      </c>
      <c r="G9" s="7">
        <v>251309</v>
      </c>
      <c r="H9" s="7">
        <v>205356</v>
      </c>
      <c r="I9" s="7">
        <v>287058</v>
      </c>
      <c r="J9" s="7">
        <v>246941</v>
      </c>
      <c r="K9" s="7">
        <v>415359</v>
      </c>
      <c r="L9" s="7">
        <v>431774</v>
      </c>
      <c r="M9" s="7">
        <v>444635</v>
      </c>
      <c r="N9" s="7">
        <v>384900</v>
      </c>
      <c r="O9" s="8" t="s">
        <v>77</v>
      </c>
      <c r="P9" s="8" t="s">
        <v>78</v>
      </c>
      <c r="Q9" s="8" t="s">
        <v>78</v>
      </c>
      <c r="R9" s="8" t="s">
        <v>100</v>
      </c>
      <c r="S9" s="8" t="s">
        <v>100</v>
      </c>
      <c r="T9" s="8" t="s">
        <v>100</v>
      </c>
      <c r="U9" s="8" t="s">
        <v>100</v>
      </c>
      <c r="V9" s="8" t="s">
        <v>100</v>
      </c>
      <c r="W9" s="8" t="s">
        <v>85</v>
      </c>
      <c r="X9" s="8" t="s">
        <v>85</v>
      </c>
      <c r="Y9" s="8" t="s">
        <v>86</v>
      </c>
      <c r="Z9" s="9" t="s">
        <v>254</v>
      </c>
    </row>
    <row r="10" spans="1:26" ht="28">
      <c r="A10" s="3" t="s">
        <v>255</v>
      </c>
      <c r="B10" s="3" t="s">
        <v>75</v>
      </c>
      <c r="C10" s="3" t="s">
        <v>256</v>
      </c>
      <c r="D10" s="7">
        <v>134028</v>
      </c>
      <c r="E10" s="7">
        <v>158140</v>
      </c>
      <c r="F10" s="7">
        <v>198664</v>
      </c>
      <c r="G10" s="7">
        <v>179200</v>
      </c>
      <c r="H10" s="7">
        <v>193800</v>
      </c>
      <c r="I10" s="7">
        <v>169500</v>
      </c>
      <c r="J10" s="7">
        <v>176700</v>
      </c>
      <c r="K10" s="7">
        <v>381700</v>
      </c>
      <c r="L10" s="7">
        <v>657400</v>
      </c>
      <c r="M10" s="7">
        <v>675700</v>
      </c>
      <c r="N10" s="7">
        <v>635800</v>
      </c>
      <c r="O10" s="8" t="s">
        <v>78</v>
      </c>
      <c r="P10" s="8" t="s">
        <v>78</v>
      </c>
      <c r="Q10" s="8" t="s">
        <v>78</v>
      </c>
      <c r="R10" s="8" t="s">
        <v>100</v>
      </c>
      <c r="S10" s="8" t="s">
        <v>100</v>
      </c>
      <c r="T10" s="8" t="s">
        <v>100</v>
      </c>
      <c r="U10" s="8" t="s">
        <v>100</v>
      </c>
      <c r="V10" s="8" t="s">
        <v>100</v>
      </c>
      <c r="W10" s="8" t="s">
        <v>100</v>
      </c>
      <c r="X10" s="8" t="s">
        <v>86</v>
      </c>
      <c r="Y10" s="8" t="s">
        <v>86</v>
      </c>
      <c r="Z10" s="9" t="s">
        <v>257</v>
      </c>
    </row>
    <row r="11" spans="1:26" ht="28">
      <c r="A11" s="3" t="s">
        <v>258</v>
      </c>
      <c r="B11" s="3" t="s">
        <v>75</v>
      </c>
      <c r="C11" s="3" t="s">
        <v>259</v>
      </c>
      <c r="D11" s="7">
        <v>47440</v>
      </c>
      <c r="E11" s="7">
        <v>67141</v>
      </c>
      <c r="F11" s="7">
        <v>99266</v>
      </c>
      <c r="G11" s="7" t="s">
        <v>112</v>
      </c>
      <c r="H11" s="7" t="s">
        <v>112</v>
      </c>
      <c r="I11" s="7" t="s">
        <v>112</v>
      </c>
      <c r="J11" s="7" t="s">
        <v>112</v>
      </c>
      <c r="K11" s="7" t="s">
        <v>112</v>
      </c>
      <c r="L11" s="7" t="s">
        <v>112</v>
      </c>
      <c r="M11" s="7" t="s">
        <v>112</v>
      </c>
      <c r="N11" s="7" t="s">
        <v>112</v>
      </c>
      <c r="O11" s="8" t="s">
        <v>77</v>
      </c>
      <c r="P11" s="8" t="s">
        <v>78</v>
      </c>
      <c r="Q11" s="8" t="s">
        <v>78</v>
      </c>
      <c r="R11" s="8"/>
      <c r="S11" s="8"/>
      <c r="T11" s="8"/>
      <c r="U11" s="8"/>
      <c r="V11" s="8"/>
      <c r="W11" s="8"/>
      <c r="X11" s="8"/>
      <c r="Y11" s="8"/>
      <c r="Z11" s="9" t="s">
        <v>260</v>
      </c>
    </row>
    <row r="12" spans="1:26" ht="28">
      <c r="A12" s="3" t="s">
        <v>261</v>
      </c>
      <c r="B12" s="3" t="s">
        <v>75</v>
      </c>
      <c r="C12" s="3" t="s">
        <v>259</v>
      </c>
      <c r="D12" s="7">
        <v>77922</v>
      </c>
      <c r="E12" s="7">
        <v>90939</v>
      </c>
      <c r="F12" s="7">
        <v>103647</v>
      </c>
      <c r="G12" s="7" t="s">
        <v>112</v>
      </c>
      <c r="H12" s="7" t="s">
        <v>112</v>
      </c>
      <c r="I12" s="7" t="s">
        <v>112</v>
      </c>
      <c r="J12" s="7" t="s">
        <v>112</v>
      </c>
      <c r="K12" s="7" t="s">
        <v>112</v>
      </c>
      <c r="L12" s="7" t="s">
        <v>112</v>
      </c>
      <c r="M12" s="7" t="s">
        <v>112</v>
      </c>
      <c r="N12" s="7" t="s">
        <v>112</v>
      </c>
      <c r="O12" s="8" t="s">
        <v>77</v>
      </c>
      <c r="P12" s="8" t="s">
        <v>78</v>
      </c>
      <c r="Q12" s="8" t="s">
        <v>78</v>
      </c>
      <c r="R12" s="8"/>
      <c r="S12" s="8"/>
      <c r="T12" s="8"/>
      <c r="U12" s="8"/>
      <c r="V12" s="8"/>
      <c r="W12" s="8"/>
      <c r="X12" s="8"/>
      <c r="Y12" s="8"/>
      <c r="Z12" s="9" t="s">
        <v>260</v>
      </c>
    </row>
    <row r="13" spans="1:26" ht="28">
      <c r="A13" s="3" t="s">
        <v>262</v>
      </c>
      <c r="B13" s="3" t="s">
        <v>75</v>
      </c>
      <c r="C13" s="3" t="s">
        <v>263</v>
      </c>
      <c r="D13" s="7" t="s">
        <v>112</v>
      </c>
      <c r="E13" s="7" t="s">
        <v>112</v>
      </c>
      <c r="F13" s="7" t="s">
        <v>112</v>
      </c>
      <c r="G13" s="7" t="s">
        <v>112</v>
      </c>
      <c r="H13" s="7" t="s">
        <v>112</v>
      </c>
      <c r="I13" s="7" t="s">
        <v>112</v>
      </c>
      <c r="J13" s="7" t="s">
        <v>112</v>
      </c>
      <c r="K13" s="7" t="s">
        <v>112</v>
      </c>
      <c r="L13" s="7">
        <v>654473</v>
      </c>
      <c r="M13" s="7">
        <v>690036</v>
      </c>
      <c r="N13" s="7" t="s">
        <v>112</v>
      </c>
      <c r="O13" s="8"/>
      <c r="P13" s="8"/>
      <c r="Q13" s="8"/>
      <c r="R13" s="8"/>
      <c r="S13" s="8"/>
      <c r="T13" s="8"/>
      <c r="U13" s="8"/>
      <c r="V13" s="8"/>
      <c r="W13" s="8" t="s">
        <v>85</v>
      </c>
      <c r="X13" s="8" t="s">
        <v>85</v>
      </c>
      <c r="Y13" s="8"/>
      <c r="Z13" s="9" t="s">
        <v>264</v>
      </c>
    </row>
    <row r="14" spans="1:26" ht="28">
      <c r="A14" s="3" t="s">
        <v>265</v>
      </c>
      <c r="B14" s="3" t="s">
        <v>75</v>
      </c>
      <c r="C14" s="3" t="s">
        <v>266</v>
      </c>
      <c r="D14" s="7">
        <v>28351</v>
      </c>
      <c r="E14" s="7">
        <v>6930</v>
      </c>
      <c r="F14" s="7">
        <v>4832</v>
      </c>
      <c r="G14" s="7" t="s">
        <v>112</v>
      </c>
      <c r="H14" s="7" t="s">
        <v>112</v>
      </c>
      <c r="I14" s="7" t="s">
        <v>112</v>
      </c>
      <c r="J14" s="7" t="s">
        <v>112</v>
      </c>
      <c r="K14" s="7" t="s">
        <v>112</v>
      </c>
      <c r="L14" s="7" t="s">
        <v>112</v>
      </c>
      <c r="M14" s="7">
        <v>77472</v>
      </c>
      <c r="N14" s="7" t="s">
        <v>112</v>
      </c>
      <c r="O14" s="8" t="s">
        <v>77</v>
      </c>
      <c r="P14" s="8" t="s">
        <v>78</v>
      </c>
      <c r="Q14" s="8" t="s">
        <v>78</v>
      </c>
      <c r="R14" s="8"/>
      <c r="S14" s="8"/>
      <c r="T14" s="8"/>
      <c r="U14" s="8"/>
      <c r="V14" s="8"/>
      <c r="W14" s="8"/>
      <c r="X14" s="8" t="s">
        <v>85</v>
      </c>
      <c r="Y14" s="8"/>
      <c r="Z14" s="9" t="s">
        <v>267</v>
      </c>
    </row>
    <row r="15" spans="1:26" ht="42">
      <c r="A15" s="3" t="s">
        <v>268</v>
      </c>
      <c r="B15" s="3" t="s">
        <v>75</v>
      </c>
      <c r="C15" s="3" t="s">
        <v>266</v>
      </c>
      <c r="D15" s="7" t="s">
        <v>112</v>
      </c>
      <c r="E15" s="7">
        <v>348431</v>
      </c>
      <c r="F15" s="7">
        <v>3543</v>
      </c>
      <c r="G15" s="7" t="s">
        <v>112</v>
      </c>
      <c r="H15" s="7" t="s">
        <v>112</v>
      </c>
      <c r="I15" s="7" t="s">
        <v>112</v>
      </c>
      <c r="J15" s="7" t="s">
        <v>112</v>
      </c>
      <c r="K15" s="7" t="s">
        <v>112</v>
      </c>
      <c r="L15" s="7" t="s">
        <v>112</v>
      </c>
      <c r="M15" s="7" t="s">
        <v>112</v>
      </c>
      <c r="N15" s="7" t="s">
        <v>112</v>
      </c>
      <c r="O15" s="8"/>
      <c r="P15" s="8" t="s">
        <v>78</v>
      </c>
      <c r="Q15" s="8" t="s">
        <v>78</v>
      </c>
      <c r="R15" s="8"/>
      <c r="S15" s="8"/>
      <c r="T15" s="8"/>
      <c r="U15" s="8"/>
      <c r="V15" s="8"/>
      <c r="W15" s="8"/>
      <c r="X15" s="8"/>
      <c r="Y15" s="8"/>
      <c r="Z15" s="9" t="s">
        <v>269</v>
      </c>
    </row>
    <row r="16" spans="1:26" ht="28">
      <c r="A16" s="3" t="s">
        <v>270</v>
      </c>
      <c r="B16" s="3" t="s">
        <v>75</v>
      </c>
      <c r="C16" s="3" t="s">
        <v>271</v>
      </c>
      <c r="D16" s="7">
        <v>5544</v>
      </c>
      <c r="E16" s="7">
        <v>5377</v>
      </c>
      <c r="F16" s="7">
        <v>6164</v>
      </c>
      <c r="G16" s="7" t="s">
        <v>112</v>
      </c>
      <c r="H16" s="7" t="s">
        <v>112</v>
      </c>
      <c r="I16" s="7" t="s">
        <v>112</v>
      </c>
      <c r="J16" s="7" t="s">
        <v>112</v>
      </c>
      <c r="K16" s="7" t="s">
        <v>112</v>
      </c>
      <c r="L16" s="7" t="s">
        <v>112</v>
      </c>
      <c r="M16" s="7">
        <v>59642</v>
      </c>
      <c r="N16" s="7" t="s">
        <v>112</v>
      </c>
      <c r="O16" s="8" t="s">
        <v>77</v>
      </c>
      <c r="P16" s="8" t="s">
        <v>78</v>
      </c>
      <c r="Q16" s="8" t="s">
        <v>78</v>
      </c>
      <c r="R16" s="8"/>
      <c r="S16" s="8"/>
      <c r="T16" s="8"/>
      <c r="U16" s="8"/>
      <c r="V16" s="8"/>
      <c r="W16" s="8"/>
      <c r="X16" s="8" t="s">
        <v>85</v>
      </c>
      <c r="Y16" s="8"/>
      <c r="Z16" s="9" t="s">
        <v>272</v>
      </c>
    </row>
    <row r="17" spans="1:26" ht="28">
      <c r="A17" s="3" t="s">
        <v>273</v>
      </c>
      <c r="B17" s="3" t="s">
        <v>75</v>
      </c>
      <c r="C17" s="3" t="s">
        <v>274</v>
      </c>
      <c r="D17" s="7">
        <v>31808</v>
      </c>
      <c r="E17" s="7">
        <v>68197</v>
      </c>
      <c r="F17" s="7">
        <v>64091</v>
      </c>
      <c r="G17" s="7" t="s">
        <v>112</v>
      </c>
      <c r="H17" s="7" t="s">
        <v>112</v>
      </c>
      <c r="I17" s="7" t="s">
        <v>112</v>
      </c>
      <c r="J17" s="7" t="s">
        <v>112</v>
      </c>
      <c r="K17" s="7" t="s">
        <v>112</v>
      </c>
      <c r="L17" s="7" t="s">
        <v>112</v>
      </c>
      <c r="M17" s="7">
        <v>116711</v>
      </c>
      <c r="N17" s="7" t="s">
        <v>112</v>
      </c>
      <c r="O17" s="8" t="s">
        <v>77</v>
      </c>
      <c r="P17" s="8" t="s">
        <v>78</v>
      </c>
      <c r="Q17" s="8" t="s">
        <v>78</v>
      </c>
      <c r="R17" s="8"/>
      <c r="S17" s="8"/>
      <c r="T17" s="8"/>
      <c r="U17" s="8"/>
      <c r="V17" s="8"/>
      <c r="W17" s="8"/>
      <c r="X17" s="8" t="s">
        <v>85</v>
      </c>
      <c r="Y17" s="8"/>
      <c r="Z17" s="9" t="s">
        <v>275</v>
      </c>
    </row>
    <row r="18" spans="1:26" ht="28">
      <c r="A18" s="3" t="s">
        <v>276</v>
      </c>
      <c r="B18" s="3" t="s">
        <v>75</v>
      </c>
      <c r="C18" s="3" t="s">
        <v>277</v>
      </c>
      <c r="D18" s="7">
        <v>16834</v>
      </c>
      <c r="E18" s="7">
        <v>21037</v>
      </c>
      <c r="F18" s="7">
        <v>21739</v>
      </c>
      <c r="G18" s="7" t="s">
        <v>112</v>
      </c>
      <c r="H18" s="7" t="s">
        <v>112</v>
      </c>
      <c r="I18" s="7" t="s">
        <v>112</v>
      </c>
      <c r="J18" s="7" t="s">
        <v>112</v>
      </c>
      <c r="K18" s="7" t="s">
        <v>112</v>
      </c>
      <c r="L18" s="7" t="s">
        <v>112</v>
      </c>
      <c r="M18" s="7">
        <v>33658</v>
      </c>
      <c r="N18" s="7" t="s">
        <v>112</v>
      </c>
      <c r="O18" s="8" t="s">
        <v>77</v>
      </c>
      <c r="P18" s="8" t="s">
        <v>78</v>
      </c>
      <c r="Q18" s="8" t="s">
        <v>78</v>
      </c>
      <c r="R18" s="8"/>
      <c r="S18" s="8"/>
      <c r="T18" s="8"/>
      <c r="U18" s="8"/>
      <c r="V18" s="8"/>
      <c r="W18" s="8"/>
      <c r="X18" s="8" t="s">
        <v>85</v>
      </c>
      <c r="Y18" s="8"/>
      <c r="Z18" s="9" t="s">
        <v>275</v>
      </c>
    </row>
    <row r="19" spans="1:26" ht="28">
      <c r="A19" s="3" t="s">
        <v>278</v>
      </c>
      <c r="B19" s="3" t="s">
        <v>75</v>
      </c>
      <c r="C19" s="3" t="s">
        <v>279</v>
      </c>
      <c r="D19" s="7" t="s">
        <v>112</v>
      </c>
      <c r="E19" s="7">
        <v>115512</v>
      </c>
      <c r="F19" s="7">
        <v>187617</v>
      </c>
      <c r="G19" s="7" t="s">
        <v>112</v>
      </c>
      <c r="H19" s="7" t="s">
        <v>112</v>
      </c>
      <c r="I19" s="7" t="s">
        <v>112</v>
      </c>
      <c r="J19" s="7" t="s">
        <v>112</v>
      </c>
      <c r="K19" s="7" t="s">
        <v>112</v>
      </c>
      <c r="L19" s="7" t="s">
        <v>112</v>
      </c>
      <c r="M19" s="7">
        <v>738544</v>
      </c>
      <c r="N19" s="7" t="s">
        <v>112</v>
      </c>
      <c r="O19" s="8"/>
      <c r="P19" s="8" t="s">
        <v>78</v>
      </c>
      <c r="Q19" s="8" t="s">
        <v>78</v>
      </c>
      <c r="R19" s="8"/>
      <c r="S19" s="8"/>
      <c r="T19" s="8"/>
      <c r="U19" s="8"/>
      <c r="V19" s="8"/>
      <c r="W19" s="8"/>
      <c r="X19" s="8" t="s">
        <v>85</v>
      </c>
      <c r="Y19" s="8"/>
      <c r="Z19" s="9" t="s">
        <v>280</v>
      </c>
    </row>
    <row r="20" spans="1:26" ht="34.5">
      <c r="A20" s="3" t="s">
        <v>281</v>
      </c>
      <c r="B20" s="3" t="s">
        <v>75</v>
      </c>
      <c r="C20" s="3" t="s">
        <v>282</v>
      </c>
      <c r="D20" s="7" t="s">
        <v>112</v>
      </c>
      <c r="E20" s="7">
        <v>29331</v>
      </c>
      <c r="F20" s="7">
        <v>103785</v>
      </c>
      <c r="G20" s="7" t="s">
        <v>112</v>
      </c>
      <c r="H20" s="7" t="s">
        <v>112</v>
      </c>
      <c r="I20" s="7" t="s">
        <v>112</v>
      </c>
      <c r="J20" s="7" t="s">
        <v>112</v>
      </c>
      <c r="K20" s="7" t="s">
        <v>112</v>
      </c>
      <c r="L20" s="7" t="s">
        <v>112</v>
      </c>
      <c r="M20" s="7">
        <v>266694</v>
      </c>
      <c r="N20" s="7" t="s">
        <v>112</v>
      </c>
      <c r="O20" s="8"/>
      <c r="P20" s="8" t="s">
        <v>78</v>
      </c>
      <c r="Q20" s="8" t="s">
        <v>78</v>
      </c>
      <c r="R20" s="8"/>
      <c r="S20" s="8"/>
      <c r="T20" s="8"/>
      <c r="U20" s="8"/>
      <c r="V20" s="8"/>
      <c r="W20" s="8"/>
      <c r="X20" s="8" t="s">
        <v>85</v>
      </c>
      <c r="Y20" s="8"/>
      <c r="Z20" s="9" t="s">
        <v>283</v>
      </c>
    </row>
    <row r="21" spans="1:26" ht="28">
      <c r="A21" s="3" t="s">
        <v>284</v>
      </c>
      <c r="B21" s="3" t="s">
        <v>75</v>
      </c>
      <c r="C21" s="3" t="s">
        <v>285</v>
      </c>
      <c r="D21" s="7" t="s">
        <v>112</v>
      </c>
      <c r="E21" s="7">
        <v>3129</v>
      </c>
      <c r="F21" s="7">
        <v>2684</v>
      </c>
      <c r="G21" s="7" t="s">
        <v>112</v>
      </c>
      <c r="H21" s="7" t="s">
        <v>112</v>
      </c>
      <c r="I21" s="7" t="s">
        <v>112</v>
      </c>
      <c r="J21" s="7" t="s">
        <v>112</v>
      </c>
      <c r="K21" s="7" t="s">
        <v>112</v>
      </c>
      <c r="L21" s="7" t="s">
        <v>112</v>
      </c>
      <c r="M21" s="7">
        <v>80020</v>
      </c>
      <c r="N21" s="7" t="s">
        <v>112</v>
      </c>
      <c r="O21" s="8"/>
      <c r="P21" s="8" t="s">
        <v>78</v>
      </c>
      <c r="Q21" s="8" t="s">
        <v>78</v>
      </c>
      <c r="R21" s="8"/>
      <c r="S21" s="8"/>
      <c r="T21" s="8"/>
      <c r="U21" s="8"/>
      <c r="V21" s="8"/>
      <c r="W21" s="8"/>
      <c r="X21" s="8" t="s">
        <v>85</v>
      </c>
      <c r="Y21" s="8"/>
      <c r="Z21" s="9" t="s">
        <v>286</v>
      </c>
    </row>
    <row r="22" spans="1:26" ht="13.4" customHeight="1">
      <c r="A22" s="145" t="s">
        <v>287</v>
      </c>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spans="1:26" ht="28">
      <c r="A23" s="3" t="s">
        <v>288</v>
      </c>
      <c r="B23" s="3" t="s">
        <v>75</v>
      </c>
      <c r="C23" s="3" t="s">
        <v>289</v>
      </c>
      <c r="D23" s="7">
        <v>-43052</v>
      </c>
      <c r="E23" s="7">
        <v>-9032</v>
      </c>
      <c r="F23" s="7">
        <v>-40133</v>
      </c>
      <c r="G23" s="7" t="s">
        <v>112</v>
      </c>
      <c r="H23" s="7" t="s">
        <v>112</v>
      </c>
      <c r="I23" s="7">
        <v>-22477</v>
      </c>
      <c r="J23" s="7">
        <v>-42933</v>
      </c>
      <c r="K23" s="7" t="s">
        <v>112</v>
      </c>
      <c r="L23" s="7">
        <v>-16427</v>
      </c>
      <c r="M23" s="7">
        <v>-143722</v>
      </c>
      <c r="N23" s="7" t="s">
        <v>112</v>
      </c>
      <c r="O23" s="8" t="s">
        <v>77</v>
      </c>
      <c r="P23" s="8" t="s">
        <v>78</v>
      </c>
      <c r="Q23" s="8" t="s">
        <v>78</v>
      </c>
      <c r="R23" s="8"/>
      <c r="S23" s="8"/>
      <c r="T23" s="8" t="s">
        <v>81</v>
      </c>
      <c r="U23" s="8" t="s">
        <v>82</v>
      </c>
      <c r="V23" s="8"/>
      <c r="W23" s="8" t="s">
        <v>85</v>
      </c>
      <c r="X23" s="8" t="s">
        <v>85</v>
      </c>
      <c r="Y23" s="8"/>
      <c r="Z23" s="9" t="s">
        <v>290</v>
      </c>
    </row>
    <row r="24" spans="1:26" ht="28">
      <c r="A24" s="3" t="s">
        <v>291</v>
      </c>
      <c r="B24" s="3" t="s">
        <v>75</v>
      </c>
      <c r="C24" s="3" t="s">
        <v>292</v>
      </c>
      <c r="D24" s="7" t="s">
        <v>112</v>
      </c>
      <c r="E24" s="7" t="s">
        <v>112</v>
      </c>
      <c r="F24" s="7" t="s">
        <v>112</v>
      </c>
      <c r="G24" s="7" t="s">
        <v>112</v>
      </c>
      <c r="H24" s="7" t="s">
        <v>112</v>
      </c>
      <c r="I24" s="7">
        <v>-24602</v>
      </c>
      <c r="J24" s="7">
        <v>-1593</v>
      </c>
      <c r="K24" s="7" t="s">
        <v>112</v>
      </c>
      <c r="L24" s="7">
        <v>-21054</v>
      </c>
      <c r="M24" s="7">
        <v>-45488</v>
      </c>
      <c r="N24" s="7" t="s">
        <v>112</v>
      </c>
      <c r="O24" s="8"/>
      <c r="P24" s="8"/>
      <c r="Q24" s="8"/>
      <c r="R24" s="8"/>
      <c r="S24" s="8"/>
      <c r="T24" s="8" t="s">
        <v>81</v>
      </c>
      <c r="U24" s="8" t="s">
        <v>82</v>
      </c>
      <c r="V24" s="8"/>
      <c r="W24" s="8" t="s">
        <v>85</v>
      </c>
      <c r="X24" s="8" t="s">
        <v>85</v>
      </c>
      <c r="Y24" s="8"/>
      <c r="Z24" s="9" t="s">
        <v>275</v>
      </c>
    </row>
    <row r="25" spans="1:26" ht="28">
      <c r="A25" s="3" t="s">
        <v>293</v>
      </c>
      <c r="B25" s="3" t="s">
        <v>75</v>
      </c>
      <c r="C25" s="3" t="s">
        <v>292</v>
      </c>
      <c r="D25" s="7">
        <v>5373</v>
      </c>
      <c r="E25" s="7">
        <v>-4497</v>
      </c>
      <c r="F25" s="7">
        <v>-8302</v>
      </c>
      <c r="G25" s="7" t="s">
        <v>112</v>
      </c>
      <c r="H25" s="7" t="s">
        <v>112</v>
      </c>
      <c r="I25" s="7">
        <v>-855</v>
      </c>
      <c r="J25" s="7">
        <v>-10780</v>
      </c>
      <c r="K25" s="7" t="s">
        <v>112</v>
      </c>
      <c r="L25" s="7">
        <v>30105</v>
      </c>
      <c r="M25" s="7">
        <v>-3905</v>
      </c>
      <c r="N25" s="7" t="s">
        <v>112</v>
      </c>
      <c r="O25" s="8" t="s">
        <v>77</v>
      </c>
      <c r="P25" s="8" t="s">
        <v>78</v>
      </c>
      <c r="Q25" s="8" t="s">
        <v>78</v>
      </c>
      <c r="R25" s="8"/>
      <c r="S25" s="8"/>
      <c r="T25" s="8" t="s">
        <v>81</v>
      </c>
      <c r="U25" s="8" t="s">
        <v>82</v>
      </c>
      <c r="V25" s="8"/>
      <c r="W25" s="8" t="s">
        <v>85</v>
      </c>
      <c r="X25" s="8" t="s">
        <v>85</v>
      </c>
      <c r="Y25" s="8"/>
      <c r="Z25" s="9" t="s">
        <v>294</v>
      </c>
    </row>
    <row r="26" spans="1:26" ht="28">
      <c r="A26" s="3" t="s">
        <v>295</v>
      </c>
      <c r="B26" s="3" t="s">
        <v>75</v>
      </c>
      <c r="C26" s="3" t="s">
        <v>292</v>
      </c>
      <c r="D26" s="7">
        <v>9574</v>
      </c>
      <c r="E26" s="7">
        <v>16609</v>
      </c>
      <c r="F26" s="7">
        <v>9904</v>
      </c>
      <c r="G26" s="7" t="s">
        <v>112</v>
      </c>
      <c r="H26" s="7" t="s">
        <v>112</v>
      </c>
      <c r="I26" s="7">
        <v>50358</v>
      </c>
      <c r="J26" s="7">
        <v>27833</v>
      </c>
      <c r="K26" s="7" t="s">
        <v>112</v>
      </c>
      <c r="L26" s="7">
        <v>-22651</v>
      </c>
      <c r="M26" s="7">
        <v>104086</v>
      </c>
      <c r="N26" s="7" t="s">
        <v>112</v>
      </c>
      <c r="O26" s="8" t="s">
        <v>77</v>
      </c>
      <c r="P26" s="8" t="s">
        <v>78</v>
      </c>
      <c r="Q26" s="8" t="s">
        <v>78</v>
      </c>
      <c r="R26" s="8"/>
      <c r="S26" s="8"/>
      <c r="T26" s="8" t="s">
        <v>81</v>
      </c>
      <c r="U26" s="8" t="s">
        <v>82</v>
      </c>
      <c r="V26" s="8"/>
      <c r="W26" s="8" t="s">
        <v>85</v>
      </c>
      <c r="X26" s="8" t="s">
        <v>85</v>
      </c>
      <c r="Y26" s="8"/>
      <c r="Z26" s="9" t="s">
        <v>296</v>
      </c>
    </row>
    <row r="27" spans="1:26" ht="28">
      <c r="A27" s="3" t="s">
        <v>297</v>
      </c>
      <c r="B27" s="3" t="s">
        <v>75</v>
      </c>
      <c r="C27" s="3" t="s">
        <v>298</v>
      </c>
      <c r="D27" s="7">
        <v>27954</v>
      </c>
      <c r="E27" s="7">
        <v>14908</v>
      </c>
      <c r="F27" s="7">
        <v>27637</v>
      </c>
      <c r="G27" s="7" t="s">
        <v>112</v>
      </c>
      <c r="H27" s="7" t="s">
        <v>112</v>
      </c>
      <c r="I27" s="7">
        <v>11018</v>
      </c>
      <c r="J27" s="7">
        <v>920</v>
      </c>
      <c r="K27" s="7" t="s">
        <v>112</v>
      </c>
      <c r="L27" s="7">
        <v>29985</v>
      </c>
      <c r="M27" s="7">
        <v>-7930</v>
      </c>
      <c r="N27" s="7" t="s">
        <v>112</v>
      </c>
      <c r="O27" s="8" t="s">
        <v>77</v>
      </c>
      <c r="P27" s="8" t="s">
        <v>78</v>
      </c>
      <c r="Q27" s="8" t="s">
        <v>78</v>
      </c>
      <c r="R27" s="8"/>
      <c r="S27" s="8"/>
      <c r="T27" s="8" t="s">
        <v>81</v>
      </c>
      <c r="U27" s="8" t="s">
        <v>82</v>
      </c>
      <c r="V27" s="8"/>
      <c r="W27" s="8" t="s">
        <v>85</v>
      </c>
      <c r="X27" s="8" t="s">
        <v>85</v>
      </c>
      <c r="Y27" s="8"/>
      <c r="Z27" s="9" t="s">
        <v>299</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7">
    <mergeCell ref="A5:Z5"/>
    <mergeCell ref="A22:Z22"/>
    <mergeCell ref="A1:Z1"/>
    <mergeCell ref="A2:Z2"/>
    <mergeCell ref="A3:C3"/>
    <mergeCell ref="D3:N3"/>
    <mergeCell ref="O3:Y3"/>
  </mergeCells>
  <conditionalFormatting sqref="D5:N120">
    <cfRule type="expression" dxfId="9" priority="1">
      <formula>LEFT(D5,3)="N/A"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20"/>
  <sheetViews>
    <sheetView workbookViewId="0"/>
  </sheetViews>
  <sheetFormatPr defaultRowHeight="14"/>
  <cols>
    <col min="1" max="1" width="13" customWidth="1"/>
    <col min="2" max="2" width="14" customWidth="1"/>
    <col min="3" max="3" width="24" customWidth="1"/>
    <col min="4" max="4" width="42" customWidth="1"/>
    <col min="5" max="6" width="18" customWidth="1"/>
    <col min="7" max="7" width="10" customWidth="1"/>
    <col min="8" max="8" width="48" customWidth="1"/>
    <col min="9" max="9" width="50" customWidth="1"/>
  </cols>
  <sheetData>
    <row r="1" spans="1:26" ht="18.649999999999999" customHeight="1">
      <c r="A1" s="140" t="s">
        <v>300</v>
      </c>
      <c r="B1" s="140"/>
      <c r="C1" s="140"/>
      <c r="D1" s="140"/>
      <c r="E1" s="140"/>
      <c r="F1" s="140"/>
      <c r="G1" s="140"/>
      <c r="H1" s="140"/>
      <c r="I1" s="140"/>
      <c r="J1" s="1"/>
      <c r="K1" s="1"/>
      <c r="L1" s="1"/>
      <c r="M1" s="1"/>
      <c r="N1" s="1"/>
      <c r="O1" s="1"/>
      <c r="P1" s="1"/>
      <c r="Q1" s="1"/>
      <c r="R1" s="1"/>
      <c r="S1" s="1"/>
      <c r="T1" s="1"/>
      <c r="U1" s="1"/>
      <c r="V1" s="1"/>
      <c r="W1" s="1"/>
      <c r="X1" s="1"/>
      <c r="Y1" s="1"/>
      <c r="Z1" s="1"/>
    </row>
    <row r="2" spans="1:26" ht="21.4" customHeight="1">
      <c r="A2" s="141" t="s">
        <v>301</v>
      </c>
      <c r="B2" s="141"/>
      <c r="C2" s="141"/>
      <c r="D2" s="141"/>
      <c r="E2" s="141"/>
      <c r="F2" s="141"/>
      <c r="G2" s="141"/>
      <c r="H2" s="141"/>
      <c r="I2" s="14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28">
      <c r="A4" s="10" t="s">
        <v>302</v>
      </c>
      <c r="B4" s="10" t="s">
        <v>303</v>
      </c>
      <c r="C4" s="10" t="s">
        <v>304</v>
      </c>
      <c r="D4" s="10" t="s">
        <v>305</v>
      </c>
      <c r="E4" s="10" t="s">
        <v>306</v>
      </c>
      <c r="F4" s="10" t="s">
        <v>307</v>
      </c>
      <c r="G4" s="10" t="s">
        <v>308</v>
      </c>
      <c r="H4" s="10" t="s">
        <v>309</v>
      </c>
      <c r="I4" s="10" t="s">
        <v>310</v>
      </c>
      <c r="J4" s="1"/>
      <c r="K4" s="1"/>
      <c r="L4" s="1"/>
      <c r="M4" s="1"/>
      <c r="N4" s="1"/>
      <c r="O4" s="1"/>
      <c r="P4" s="1"/>
      <c r="Q4" s="1"/>
      <c r="R4" s="1"/>
      <c r="S4" s="1"/>
      <c r="T4" s="1"/>
      <c r="U4" s="1"/>
      <c r="V4" s="1"/>
      <c r="W4" s="1"/>
      <c r="X4" s="1"/>
      <c r="Y4" s="1"/>
      <c r="Z4" s="1"/>
    </row>
    <row r="5" spans="1:26" ht="28">
      <c r="A5" s="3" t="s">
        <v>62</v>
      </c>
      <c r="B5" s="3" t="s">
        <v>311</v>
      </c>
      <c r="C5" s="3" t="s">
        <v>312</v>
      </c>
      <c r="D5" s="3" t="s">
        <v>313</v>
      </c>
      <c r="E5" s="7">
        <v>504400</v>
      </c>
      <c r="F5" s="7" t="s">
        <v>112</v>
      </c>
      <c r="G5" s="11" t="s">
        <v>100</v>
      </c>
      <c r="H5" s="3" t="s">
        <v>314</v>
      </c>
      <c r="I5" s="3" t="s">
        <v>315</v>
      </c>
      <c r="J5" s="1"/>
      <c r="K5" s="1"/>
      <c r="L5" s="1"/>
      <c r="M5" s="1"/>
      <c r="N5" s="1"/>
      <c r="O5" s="1"/>
      <c r="P5" s="1"/>
      <c r="Q5" s="1"/>
      <c r="R5" s="1"/>
      <c r="S5" s="1"/>
      <c r="T5" s="1"/>
      <c r="U5" s="1"/>
      <c r="V5" s="1"/>
      <c r="W5" s="1"/>
      <c r="X5" s="1"/>
      <c r="Y5" s="1"/>
      <c r="Z5" s="1"/>
    </row>
    <row r="6" spans="1:26" ht="28">
      <c r="A6" s="3" t="s">
        <v>63</v>
      </c>
      <c r="B6" s="3" t="s">
        <v>311</v>
      </c>
      <c r="C6" s="3" t="s">
        <v>312</v>
      </c>
      <c r="D6" s="3" t="s">
        <v>313</v>
      </c>
      <c r="E6" s="7">
        <v>586300</v>
      </c>
      <c r="F6" s="7" t="s">
        <v>112</v>
      </c>
      <c r="G6" s="11" t="s">
        <v>100</v>
      </c>
      <c r="H6" s="3" t="s">
        <v>314</v>
      </c>
      <c r="I6" s="3" t="s">
        <v>315</v>
      </c>
      <c r="J6" s="1"/>
      <c r="K6" s="1"/>
      <c r="L6" s="1"/>
      <c r="M6" s="1"/>
      <c r="N6" s="1"/>
      <c r="O6" s="1"/>
      <c r="P6" s="1"/>
      <c r="Q6" s="1"/>
      <c r="R6" s="1"/>
      <c r="S6" s="1"/>
      <c r="T6" s="1"/>
      <c r="U6" s="1"/>
      <c r="V6" s="1"/>
      <c r="W6" s="1"/>
      <c r="X6" s="1"/>
      <c r="Y6" s="1"/>
      <c r="Z6" s="1"/>
    </row>
    <row r="7" spans="1:26" ht="28">
      <c r="A7" s="3" t="s">
        <v>64</v>
      </c>
      <c r="B7" s="3" t="s">
        <v>311</v>
      </c>
      <c r="C7" s="3" t="s">
        <v>312</v>
      </c>
      <c r="D7" s="3" t="s">
        <v>313</v>
      </c>
      <c r="E7" s="7">
        <v>911100</v>
      </c>
      <c r="F7" s="7" t="s">
        <v>112</v>
      </c>
      <c r="G7" s="11" t="s">
        <v>100</v>
      </c>
      <c r="H7" s="3" t="s">
        <v>314</v>
      </c>
      <c r="I7" s="3" t="s">
        <v>315</v>
      </c>
      <c r="J7" s="1"/>
      <c r="K7" s="1"/>
      <c r="L7" s="1"/>
      <c r="M7" s="1"/>
      <c r="N7" s="1"/>
      <c r="O7" s="1"/>
      <c r="P7" s="1"/>
      <c r="Q7" s="1"/>
      <c r="R7" s="1"/>
      <c r="S7" s="1"/>
      <c r="T7" s="1"/>
      <c r="U7" s="1"/>
      <c r="V7" s="1"/>
      <c r="W7" s="1"/>
      <c r="X7" s="1"/>
      <c r="Y7" s="1"/>
      <c r="Z7" s="1"/>
    </row>
    <row r="8" spans="1:26" ht="28">
      <c r="A8" s="3" t="s">
        <v>65</v>
      </c>
      <c r="B8" s="3" t="s">
        <v>316</v>
      </c>
      <c r="C8" s="3" t="s">
        <v>312</v>
      </c>
      <c r="D8" s="3" t="s">
        <v>313</v>
      </c>
      <c r="E8" s="7">
        <v>881100</v>
      </c>
      <c r="F8" s="7" t="s">
        <v>112</v>
      </c>
      <c r="G8" s="11" t="s">
        <v>100</v>
      </c>
      <c r="H8" s="3" t="s">
        <v>314</v>
      </c>
      <c r="I8" s="3" t="s">
        <v>315</v>
      </c>
      <c r="J8" s="1"/>
      <c r="K8" s="1"/>
      <c r="L8" s="1"/>
      <c r="M8" s="1"/>
      <c r="N8" s="1"/>
      <c r="O8" s="1"/>
      <c r="P8" s="1"/>
      <c r="Q8" s="1"/>
      <c r="R8" s="1"/>
      <c r="S8" s="1"/>
      <c r="T8" s="1"/>
      <c r="U8" s="1"/>
      <c r="V8" s="1"/>
      <c r="W8" s="1"/>
      <c r="X8" s="1"/>
      <c r="Y8" s="1"/>
      <c r="Z8" s="1"/>
    </row>
    <row r="9" spans="1:26" ht="28">
      <c r="A9" s="3" t="s">
        <v>66</v>
      </c>
      <c r="B9" s="3" t="s">
        <v>316</v>
      </c>
      <c r="C9" s="3" t="s">
        <v>312</v>
      </c>
      <c r="D9" s="3" t="s">
        <v>313</v>
      </c>
      <c r="E9" s="7">
        <v>906700</v>
      </c>
      <c r="F9" s="7" t="s">
        <v>112</v>
      </c>
      <c r="G9" s="11" t="s">
        <v>100</v>
      </c>
      <c r="H9" s="3" t="s">
        <v>314</v>
      </c>
      <c r="I9" s="3" t="s">
        <v>315</v>
      </c>
      <c r="J9" s="1"/>
      <c r="K9" s="1"/>
      <c r="L9" s="1"/>
      <c r="M9" s="1"/>
      <c r="N9" s="1"/>
      <c r="O9" s="1"/>
      <c r="P9" s="1"/>
      <c r="Q9" s="1"/>
      <c r="R9" s="1"/>
      <c r="S9" s="1"/>
      <c r="T9" s="1"/>
      <c r="U9" s="1"/>
      <c r="V9" s="1"/>
      <c r="W9" s="1"/>
      <c r="X9" s="1"/>
      <c r="Y9" s="1"/>
      <c r="Z9" s="1"/>
    </row>
    <row r="10" spans="1:26" ht="28">
      <c r="A10" s="3" t="s">
        <v>67</v>
      </c>
      <c r="B10" s="3" t="s">
        <v>316</v>
      </c>
      <c r="C10" s="3" t="s">
        <v>312</v>
      </c>
      <c r="D10" s="3" t="s">
        <v>313</v>
      </c>
      <c r="E10" s="7">
        <v>907200</v>
      </c>
      <c r="F10" s="7" t="s">
        <v>112</v>
      </c>
      <c r="G10" s="11" t="s">
        <v>100</v>
      </c>
      <c r="H10" s="3" t="s">
        <v>314</v>
      </c>
      <c r="I10" s="3" t="s">
        <v>315</v>
      </c>
      <c r="J10" s="1"/>
      <c r="K10" s="1"/>
      <c r="L10" s="1"/>
      <c r="M10" s="1"/>
      <c r="N10" s="1"/>
      <c r="O10" s="1"/>
      <c r="P10" s="1"/>
      <c r="Q10" s="1"/>
      <c r="R10" s="1"/>
      <c r="S10" s="1"/>
      <c r="T10" s="1"/>
      <c r="U10" s="1"/>
      <c r="V10" s="1"/>
      <c r="W10" s="1"/>
      <c r="X10" s="1"/>
      <c r="Y10" s="1"/>
      <c r="Z10" s="1"/>
    </row>
    <row r="11" spans="1:26" ht="28">
      <c r="A11" s="3" t="s">
        <v>68</v>
      </c>
      <c r="B11" s="3" t="s">
        <v>316</v>
      </c>
      <c r="C11" s="3" t="s">
        <v>312</v>
      </c>
      <c r="D11" s="3" t="s">
        <v>313</v>
      </c>
      <c r="E11" s="7">
        <v>1050500</v>
      </c>
      <c r="F11" s="7" t="s">
        <v>112</v>
      </c>
      <c r="G11" s="11" t="s">
        <v>100</v>
      </c>
      <c r="H11" s="3" t="s">
        <v>314</v>
      </c>
      <c r="I11" s="3" t="s">
        <v>315</v>
      </c>
      <c r="J11" s="1"/>
      <c r="K11" s="1"/>
      <c r="L11" s="1"/>
      <c r="M11" s="1"/>
      <c r="N11" s="1"/>
      <c r="O11" s="1"/>
      <c r="P11" s="1"/>
      <c r="Q11" s="1"/>
      <c r="R11" s="1"/>
      <c r="S11" s="1"/>
      <c r="T11" s="1"/>
      <c r="U11" s="1"/>
      <c r="V11" s="1"/>
      <c r="W11" s="1"/>
      <c r="X11" s="1"/>
      <c r="Y11" s="1"/>
      <c r="Z11" s="1"/>
    </row>
    <row r="12" spans="1:26" ht="28">
      <c r="A12" s="3" t="s">
        <v>69</v>
      </c>
      <c r="B12" s="3" t="s">
        <v>316</v>
      </c>
      <c r="C12" s="3" t="s">
        <v>312</v>
      </c>
      <c r="D12" s="3" t="s">
        <v>313</v>
      </c>
      <c r="E12" s="7">
        <v>1866100</v>
      </c>
      <c r="F12" s="7" t="s">
        <v>112</v>
      </c>
      <c r="G12" s="11" t="s">
        <v>100</v>
      </c>
      <c r="H12" s="3" t="s">
        <v>314</v>
      </c>
      <c r="I12" s="3" t="s">
        <v>315</v>
      </c>
      <c r="J12" s="1"/>
      <c r="K12" s="1"/>
      <c r="L12" s="1"/>
      <c r="M12" s="1"/>
      <c r="N12" s="1"/>
      <c r="O12" s="1"/>
      <c r="P12" s="1"/>
      <c r="Q12" s="1"/>
      <c r="R12" s="1"/>
      <c r="S12" s="1"/>
      <c r="T12" s="1"/>
      <c r="U12" s="1"/>
      <c r="V12" s="1"/>
      <c r="W12" s="1"/>
      <c r="X12" s="1"/>
      <c r="Y12" s="1"/>
      <c r="Z12" s="1"/>
    </row>
    <row r="13" spans="1:26" ht="28">
      <c r="A13" s="3" t="s">
        <v>70</v>
      </c>
      <c r="B13" s="3" t="s">
        <v>316</v>
      </c>
      <c r="C13" s="3" t="s">
        <v>312</v>
      </c>
      <c r="D13" s="3" t="s">
        <v>313</v>
      </c>
      <c r="E13" s="7">
        <v>2636300</v>
      </c>
      <c r="F13" s="7" t="s">
        <v>112</v>
      </c>
      <c r="G13" s="11" t="s">
        <v>100</v>
      </c>
      <c r="H13" s="3" t="s">
        <v>314</v>
      </c>
      <c r="I13" s="3" t="s">
        <v>315</v>
      </c>
      <c r="J13" s="1"/>
      <c r="K13" s="1"/>
      <c r="L13" s="1"/>
      <c r="M13" s="1"/>
      <c r="N13" s="1"/>
      <c r="O13" s="1"/>
      <c r="P13" s="1"/>
      <c r="Q13" s="1"/>
      <c r="R13" s="1"/>
      <c r="S13" s="1"/>
      <c r="T13" s="1"/>
      <c r="U13" s="1"/>
      <c r="V13" s="1"/>
      <c r="W13" s="1"/>
      <c r="X13" s="1"/>
      <c r="Y13" s="1"/>
      <c r="Z13" s="1"/>
    </row>
    <row r="14" spans="1:26" ht="28">
      <c r="A14" s="3" t="s">
        <v>71</v>
      </c>
      <c r="B14" s="3" t="s">
        <v>316</v>
      </c>
      <c r="C14" s="3" t="s">
        <v>317</v>
      </c>
      <c r="D14" s="3" t="s">
        <v>318</v>
      </c>
      <c r="E14" s="7">
        <v>1893893</v>
      </c>
      <c r="F14" s="7" t="s">
        <v>112</v>
      </c>
      <c r="G14" s="11" t="s">
        <v>86</v>
      </c>
      <c r="H14" s="3" t="s">
        <v>319</v>
      </c>
      <c r="I14" s="3" t="s">
        <v>320</v>
      </c>
      <c r="J14" s="1"/>
      <c r="K14" s="1"/>
      <c r="L14" s="1"/>
      <c r="M14" s="1"/>
      <c r="N14" s="1"/>
      <c r="O14" s="1"/>
      <c r="P14" s="1"/>
      <c r="Q14" s="1"/>
      <c r="R14" s="1"/>
      <c r="S14" s="1"/>
      <c r="T14" s="1"/>
      <c r="U14" s="1"/>
      <c r="V14" s="1"/>
      <c r="W14" s="1"/>
      <c r="X14" s="1"/>
      <c r="Y14" s="1"/>
      <c r="Z14" s="1"/>
    </row>
    <row r="15" spans="1:26" ht="28">
      <c r="A15" s="3" t="s">
        <v>71</v>
      </c>
      <c r="B15" s="3" t="s">
        <v>316</v>
      </c>
      <c r="C15" s="3" t="s">
        <v>317</v>
      </c>
      <c r="D15" s="3" t="s">
        <v>321</v>
      </c>
      <c r="E15" s="7">
        <v>2731390</v>
      </c>
      <c r="F15" s="7" t="s">
        <v>112</v>
      </c>
      <c r="G15" s="11" t="s">
        <v>86</v>
      </c>
      <c r="H15" s="3" t="s">
        <v>319</v>
      </c>
      <c r="I15" s="3" t="s">
        <v>320</v>
      </c>
      <c r="J15" s="1"/>
      <c r="K15" s="1"/>
      <c r="L15" s="1"/>
      <c r="M15" s="1"/>
      <c r="N15" s="1"/>
      <c r="O15" s="1"/>
      <c r="P15" s="1"/>
      <c r="Q15" s="1"/>
      <c r="R15" s="1"/>
      <c r="S15" s="1"/>
      <c r="T15" s="1"/>
      <c r="U15" s="1"/>
      <c r="V15" s="1"/>
      <c r="W15" s="1"/>
      <c r="X15" s="1"/>
      <c r="Y15" s="1"/>
      <c r="Z15" s="1"/>
    </row>
    <row r="16" spans="1:26" ht="28">
      <c r="A16" s="3" t="s">
        <v>71</v>
      </c>
      <c r="B16" s="3" t="s">
        <v>316</v>
      </c>
      <c r="C16" s="3" t="s">
        <v>317</v>
      </c>
      <c r="D16" s="3" t="s">
        <v>322</v>
      </c>
      <c r="E16" s="7">
        <v>669900</v>
      </c>
      <c r="F16" s="7" t="s">
        <v>112</v>
      </c>
      <c r="G16" s="11" t="s">
        <v>86</v>
      </c>
      <c r="H16" s="3" t="s">
        <v>319</v>
      </c>
      <c r="I16" s="3" t="s">
        <v>320</v>
      </c>
      <c r="J16" s="1"/>
      <c r="K16" s="1"/>
      <c r="L16" s="1"/>
      <c r="M16" s="1"/>
      <c r="N16" s="1"/>
      <c r="O16" s="1"/>
      <c r="P16" s="1"/>
      <c r="Q16" s="1"/>
      <c r="R16" s="1"/>
      <c r="S16" s="1"/>
      <c r="T16" s="1"/>
      <c r="U16" s="1"/>
      <c r="V16" s="1"/>
      <c r="W16" s="1"/>
      <c r="X16" s="1"/>
      <c r="Y16" s="1"/>
      <c r="Z16" s="1"/>
    </row>
    <row r="17" spans="1:26" ht="28">
      <c r="A17" s="3" t="s">
        <v>71</v>
      </c>
      <c r="B17" s="3" t="s">
        <v>316</v>
      </c>
      <c r="C17" s="3" t="s">
        <v>317</v>
      </c>
      <c r="D17" s="3" t="s">
        <v>323</v>
      </c>
      <c r="E17" s="7">
        <v>616900</v>
      </c>
      <c r="F17" s="7" t="s">
        <v>112</v>
      </c>
      <c r="G17" s="11" t="s">
        <v>86</v>
      </c>
      <c r="H17" s="3" t="s">
        <v>319</v>
      </c>
      <c r="I17" s="3" t="s">
        <v>320</v>
      </c>
      <c r="J17" s="1"/>
      <c r="K17" s="1"/>
      <c r="L17" s="1"/>
      <c r="M17" s="1"/>
      <c r="N17" s="1"/>
      <c r="O17" s="1"/>
      <c r="P17" s="1"/>
      <c r="Q17" s="1"/>
      <c r="R17" s="1"/>
      <c r="S17" s="1"/>
      <c r="T17" s="1"/>
      <c r="U17" s="1"/>
      <c r="V17" s="1"/>
      <c r="W17" s="1"/>
      <c r="X17" s="1"/>
      <c r="Y17" s="1"/>
      <c r="Z17" s="1"/>
    </row>
    <row r="18" spans="1:26" ht="28">
      <c r="A18" s="3" t="s">
        <v>71</v>
      </c>
      <c r="B18" s="3" t="s">
        <v>316</v>
      </c>
      <c r="C18" s="3" t="s">
        <v>317</v>
      </c>
      <c r="D18" s="3" t="s">
        <v>324</v>
      </c>
      <c r="E18" s="7">
        <v>519000</v>
      </c>
      <c r="F18" s="7" t="s">
        <v>112</v>
      </c>
      <c r="G18" s="11" t="s">
        <v>86</v>
      </c>
      <c r="H18" s="3" t="s">
        <v>319</v>
      </c>
      <c r="I18" s="3" t="s">
        <v>320</v>
      </c>
      <c r="J18" s="1"/>
      <c r="K18" s="1"/>
      <c r="L18" s="1"/>
      <c r="M18" s="1"/>
      <c r="N18" s="1"/>
      <c r="O18" s="1"/>
      <c r="P18" s="1"/>
      <c r="Q18" s="1"/>
      <c r="R18" s="1"/>
      <c r="S18" s="1"/>
      <c r="T18" s="1"/>
      <c r="U18" s="1"/>
      <c r="V18" s="1"/>
      <c r="W18" s="1"/>
      <c r="X18" s="1"/>
      <c r="Y18" s="1"/>
      <c r="Z18" s="1"/>
    </row>
    <row r="19" spans="1:26">
      <c r="A19" s="3" t="s">
        <v>71</v>
      </c>
      <c r="B19" s="3" t="s">
        <v>316</v>
      </c>
      <c r="C19" s="3" t="s">
        <v>325</v>
      </c>
      <c r="D19" s="3" t="s">
        <v>326</v>
      </c>
      <c r="E19" s="7">
        <v>573535</v>
      </c>
      <c r="F19" s="7" t="s">
        <v>112</v>
      </c>
      <c r="G19" s="11" t="s">
        <v>180</v>
      </c>
      <c r="H19" s="3" t="s">
        <v>327</v>
      </c>
      <c r="I19" s="3" t="s">
        <v>328</v>
      </c>
      <c r="J19" s="1"/>
      <c r="K19" s="1"/>
      <c r="L19" s="1"/>
      <c r="M19" s="1"/>
      <c r="N19" s="1"/>
      <c r="O19" s="1"/>
      <c r="P19" s="1"/>
      <c r="Q19" s="1"/>
      <c r="R19" s="1"/>
      <c r="S19" s="1"/>
      <c r="T19" s="1"/>
      <c r="U19" s="1"/>
      <c r="V19" s="1"/>
      <c r="W19" s="1"/>
      <c r="X19" s="1"/>
      <c r="Y19" s="1"/>
      <c r="Z19" s="1"/>
    </row>
    <row r="20" spans="1:26">
      <c r="A20" s="3" t="s">
        <v>71</v>
      </c>
      <c r="B20" s="3" t="s">
        <v>316</v>
      </c>
      <c r="C20" s="3" t="s">
        <v>325</v>
      </c>
      <c r="D20" s="3" t="s">
        <v>329</v>
      </c>
      <c r="E20" s="7">
        <v>702996</v>
      </c>
      <c r="F20" s="7" t="s">
        <v>112</v>
      </c>
      <c r="G20" s="11" t="s">
        <v>180</v>
      </c>
      <c r="H20" s="3" t="s">
        <v>327</v>
      </c>
      <c r="I20" s="3" t="s">
        <v>328</v>
      </c>
      <c r="J20" s="1"/>
      <c r="K20" s="1"/>
      <c r="L20" s="1"/>
      <c r="M20" s="1"/>
      <c r="N20" s="1"/>
      <c r="O20" s="1"/>
      <c r="P20" s="1"/>
      <c r="Q20" s="1"/>
      <c r="R20" s="1"/>
      <c r="S20" s="1"/>
      <c r="T20" s="1"/>
      <c r="U20" s="1"/>
      <c r="V20" s="1"/>
      <c r="W20" s="1"/>
      <c r="X20" s="1"/>
      <c r="Y20" s="1"/>
      <c r="Z20" s="1"/>
    </row>
    <row r="21" spans="1:26">
      <c r="A21" s="3" t="s">
        <v>71</v>
      </c>
      <c r="B21" s="3" t="s">
        <v>316</v>
      </c>
      <c r="C21" s="3" t="s">
        <v>325</v>
      </c>
      <c r="D21" s="3" t="s">
        <v>330</v>
      </c>
      <c r="E21" s="7">
        <v>889886</v>
      </c>
      <c r="F21" s="7" t="s">
        <v>112</v>
      </c>
      <c r="G21" s="11" t="s">
        <v>180</v>
      </c>
      <c r="H21" s="3" t="s">
        <v>327</v>
      </c>
      <c r="I21" s="3" t="s">
        <v>328</v>
      </c>
      <c r="J21" s="1"/>
      <c r="K21" s="1"/>
      <c r="L21" s="1"/>
      <c r="M21" s="1"/>
      <c r="N21" s="1"/>
      <c r="O21" s="1"/>
      <c r="P21" s="1"/>
      <c r="Q21" s="1"/>
      <c r="R21" s="1"/>
      <c r="S21" s="1"/>
      <c r="T21" s="1"/>
      <c r="U21" s="1"/>
      <c r="V21" s="1"/>
      <c r="W21" s="1"/>
      <c r="X21" s="1"/>
      <c r="Y21" s="1"/>
      <c r="Z21" s="1"/>
    </row>
    <row r="22" spans="1:26">
      <c r="A22" s="3" t="s">
        <v>71</v>
      </c>
      <c r="B22" s="3" t="s">
        <v>316</v>
      </c>
      <c r="C22" s="3" t="s">
        <v>325</v>
      </c>
      <c r="D22" s="3" t="s">
        <v>331</v>
      </c>
      <c r="E22" s="7">
        <v>1114940</v>
      </c>
      <c r="F22" s="7" t="s">
        <v>112</v>
      </c>
      <c r="G22" s="11" t="s">
        <v>180</v>
      </c>
      <c r="H22" s="3" t="s">
        <v>327</v>
      </c>
      <c r="I22" s="3" t="s">
        <v>328</v>
      </c>
      <c r="J22" s="1"/>
      <c r="K22" s="1"/>
      <c r="L22" s="1"/>
      <c r="M22" s="1"/>
      <c r="N22" s="1"/>
      <c r="O22" s="1"/>
      <c r="P22" s="1"/>
      <c r="Q22" s="1"/>
      <c r="R22" s="1"/>
      <c r="S22" s="1"/>
      <c r="T22" s="1"/>
      <c r="U22" s="1"/>
      <c r="V22" s="1"/>
      <c r="W22" s="1"/>
      <c r="X22" s="1"/>
      <c r="Y22" s="1"/>
      <c r="Z22" s="1"/>
    </row>
    <row r="23" spans="1:26" ht="28">
      <c r="A23" s="3" t="s">
        <v>71</v>
      </c>
      <c r="B23" s="3" t="s">
        <v>316</v>
      </c>
      <c r="C23" s="3" t="s">
        <v>325</v>
      </c>
      <c r="D23" s="3" t="s">
        <v>332</v>
      </c>
      <c r="E23" s="7">
        <v>979534</v>
      </c>
      <c r="F23" s="7" t="s">
        <v>112</v>
      </c>
      <c r="G23" s="11" t="s">
        <v>180</v>
      </c>
      <c r="H23" s="3" t="s">
        <v>327</v>
      </c>
      <c r="I23" s="3" t="s">
        <v>328</v>
      </c>
      <c r="J23" s="1"/>
      <c r="K23" s="1"/>
      <c r="L23" s="1"/>
      <c r="M23" s="1"/>
      <c r="N23" s="1"/>
      <c r="O23" s="1"/>
      <c r="P23" s="1"/>
      <c r="Q23" s="1"/>
      <c r="R23" s="1"/>
      <c r="S23" s="1"/>
      <c r="T23" s="1"/>
      <c r="U23" s="1"/>
      <c r="V23" s="1"/>
      <c r="W23" s="1"/>
      <c r="X23" s="1"/>
      <c r="Y23" s="1"/>
      <c r="Z23" s="1"/>
    </row>
    <row r="24" spans="1:26">
      <c r="A24" s="3" t="s">
        <v>71</v>
      </c>
      <c r="B24" s="3" t="s">
        <v>316</v>
      </c>
      <c r="C24" s="3" t="s">
        <v>325</v>
      </c>
      <c r="D24" s="3" t="s">
        <v>333</v>
      </c>
      <c r="E24" s="7">
        <v>377830</v>
      </c>
      <c r="F24" s="7" t="s">
        <v>112</v>
      </c>
      <c r="G24" s="11" t="s">
        <v>180</v>
      </c>
      <c r="H24" s="3" t="s">
        <v>327</v>
      </c>
      <c r="I24" s="3" t="s">
        <v>328</v>
      </c>
      <c r="J24" s="1"/>
      <c r="K24" s="1"/>
      <c r="L24" s="1"/>
      <c r="M24" s="1"/>
      <c r="N24" s="1"/>
      <c r="O24" s="1"/>
      <c r="P24" s="1"/>
      <c r="Q24" s="1"/>
      <c r="R24" s="1"/>
      <c r="S24" s="1"/>
      <c r="T24" s="1"/>
      <c r="U24" s="1"/>
      <c r="V24" s="1"/>
      <c r="W24" s="1"/>
      <c r="X24" s="1"/>
      <c r="Y24" s="1"/>
      <c r="Z24" s="1"/>
    </row>
    <row r="25" spans="1:26">
      <c r="A25" s="3" t="s">
        <v>72</v>
      </c>
      <c r="B25" s="3" t="s">
        <v>316</v>
      </c>
      <c r="C25" s="3" t="s">
        <v>317</v>
      </c>
      <c r="D25" s="3" t="s">
        <v>318</v>
      </c>
      <c r="E25" s="7">
        <v>2017200</v>
      </c>
      <c r="F25" s="7" t="s">
        <v>112</v>
      </c>
      <c r="G25" s="11" t="s">
        <v>86</v>
      </c>
      <c r="H25" s="3" t="s">
        <v>334</v>
      </c>
      <c r="I25" s="3" t="s">
        <v>335</v>
      </c>
      <c r="J25" s="1"/>
      <c r="K25" s="1"/>
      <c r="L25" s="1"/>
      <c r="M25" s="1"/>
      <c r="N25" s="1"/>
      <c r="O25" s="1"/>
      <c r="P25" s="1"/>
      <c r="Q25" s="1"/>
      <c r="R25" s="1"/>
      <c r="S25" s="1"/>
      <c r="T25" s="1"/>
      <c r="U25" s="1"/>
      <c r="V25" s="1"/>
      <c r="W25" s="1"/>
      <c r="X25" s="1"/>
      <c r="Y25" s="1"/>
      <c r="Z25" s="1"/>
    </row>
    <row r="26" spans="1:26">
      <c r="A26" s="3" t="s">
        <v>72</v>
      </c>
      <c r="B26" s="3" t="s">
        <v>316</v>
      </c>
      <c r="C26" s="3" t="s">
        <v>317</v>
      </c>
      <c r="D26" s="3" t="s">
        <v>321</v>
      </c>
      <c r="E26" s="7">
        <v>2986500</v>
      </c>
      <c r="F26" s="7" t="s">
        <v>112</v>
      </c>
      <c r="G26" s="11" t="s">
        <v>86</v>
      </c>
      <c r="H26" s="3" t="s">
        <v>334</v>
      </c>
      <c r="I26" s="3" t="s">
        <v>335</v>
      </c>
      <c r="J26" s="1"/>
      <c r="K26" s="1"/>
      <c r="L26" s="1"/>
      <c r="M26" s="1"/>
      <c r="N26" s="1"/>
      <c r="O26" s="1"/>
      <c r="P26" s="1"/>
      <c r="Q26" s="1"/>
      <c r="R26" s="1"/>
      <c r="S26" s="1"/>
      <c r="T26" s="1"/>
      <c r="U26" s="1"/>
      <c r="V26" s="1"/>
      <c r="W26" s="1"/>
      <c r="X26" s="1"/>
      <c r="Y26" s="1"/>
      <c r="Z26" s="1"/>
    </row>
    <row r="27" spans="1:26">
      <c r="A27" s="3" t="s">
        <v>72</v>
      </c>
      <c r="B27" s="3" t="s">
        <v>316</v>
      </c>
      <c r="C27" s="3" t="s">
        <v>317</v>
      </c>
      <c r="D27" s="3" t="s">
        <v>322</v>
      </c>
      <c r="E27" s="7">
        <v>689900</v>
      </c>
      <c r="F27" s="7" t="s">
        <v>112</v>
      </c>
      <c r="G27" s="11" t="s">
        <v>86</v>
      </c>
      <c r="H27" s="3" t="s">
        <v>334</v>
      </c>
      <c r="I27" s="3" t="s">
        <v>335</v>
      </c>
      <c r="J27" s="1"/>
      <c r="K27" s="1"/>
      <c r="L27" s="1"/>
      <c r="M27" s="1"/>
      <c r="N27" s="1"/>
      <c r="O27" s="1"/>
      <c r="P27" s="1"/>
      <c r="Q27" s="1"/>
      <c r="R27" s="1"/>
      <c r="S27" s="1"/>
      <c r="T27" s="1"/>
      <c r="U27" s="1"/>
      <c r="V27" s="1"/>
      <c r="W27" s="1"/>
      <c r="X27" s="1"/>
      <c r="Y27" s="1"/>
      <c r="Z27" s="1"/>
    </row>
    <row r="28" spans="1:26">
      <c r="A28" s="3" t="s">
        <v>72</v>
      </c>
      <c r="B28" s="3" t="s">
        <v>316</v>
      </c>
      <c r="C28" s="3" t="s">
        <v>317</v>
      </c>
      <c r="D28" s="3" t="s">
        <v>323</v>
      </c>
      <c r="E28" s="7">
        <v>671400</v>
      </c>
      <c r="F28" s="7" t="s">
        <v>112</v>
      </c>
      <c r="G28" s="11" t="s">
        <v>86</v>
      </c>
      <c r="H28" s="3" t="s">
        <v>334</v>
      </c>
      <c r="I28" s="3" t="s">
        <v>335</v>
      </c>
      <c r="J28" s="1"/>
      <c r="K28" s="1"/>
      <c r="L28" s="1"/>
      <c r="M28" s="1"/>
      <c r="N28" s="1"/>
      <c r="O28" s="1"/>
      <c r="P28" s="1"/>
      <c r="Q28" s="1"/>
      <c r="R28" s="1"/>
      <c r="S28" s="1"/>
      <c r="T28" s="1"/>
      <c r="U28" s="1"/>
      <c r="V28" s="1"/>
      <c r="W28" s="1"/>
      <c r="X28" s="1"/>
      <c r="Y28" s="1"/>
      <c r="Z28" s="1"/>
    </row>
    <row r="29" spans="1:26">
      <c r="A29" s="3" t="s">
        <v>72</v>
      </c>
      <c r="B29" s="3" t="s">
        <v>316</v>
      </c>
      <c r="C29" s="3" t="s">
        <v>317</v>
      </c>
      <c r="D29" s="3" t="s">
        <v>324</v>
      </c>
      <c r="E29" s="7">
        <v>548100</v>
      </c>
      <c r="F29" s="7" t="s">
        <v>112</v>
      </c>
      <c r="G29" s="11" t="s">
        <v>86</v>
      </c>
      <c r="H29" s="3" t="s">
        <v>334</v>
      </c>
      <c r="I29" s="3" t="s">
        <v>335</v>
      </c>
      <c r="J29" s="1"/>
      <c r="K29" s="1"/>
      <c r="L29" s="1"/>
      <c r="M29" s="1"/>
      <c r="N29" s="1"/>
      <c r="O29" s="1"/>
      <c r="P29" s="1"/>
      <c r="Q29" s="1"/>
      <c r="R29" s="1"/>
      <c r="S29" s="1"/>
      <c r="T29" s="1"/>
      <c r="U29" s="1"/>
      <c r="V29" s="1"/>
      <c r="W29" s="1"/>
      <c r="X29" s="1"/>
      <c r="Y29" s="1"/>
      <c r="Z29" s="1"/>
    </row>
    <row r="30" spans="1:26">
      <c r="A30" s="3" t="s">
        <v>72</v>
      </c>
      <c r="B30" s="3" t="s">
        <v>316</v>
      </c>
      <c r="C30" s="3" t="s">
        <v>325</v>
      </c>
      <c r="D30" s="3" t="s">
        <v>326</v>
      </c>
      <c r="E30" s="7">
        <v>613600</v>
      </c>
      <c r="F30" s="7" t="s">
        <v>112</v>
      </c>
      <c r="G30" s="11" t="s">
        <v>86</v>
      </c>
      <c r="H30" s="3" t="s">
        <v>334</v>
      </c>
      <c r="I30" s="3" t="s">
        <v>335</v>
      </c>
      <c r="J30" s="1"/>
      <c r="K30" s="1"/>
      <c r="L30" s="1"/>
      <c r="M30" s="1"/>
      <c r="N30" s="1"/>
      <c r="O30" s="1"/>
      <c r="P30" s="1"/>
      <c r="Q30" s="1"/>
      <c r="R30" s="1"/>
      <c r="S30" s="1"/>
      <c r="T30" s="1"/>
      <c r="U30" s="1"/>
      <c r="V30" s="1"/>
      <c r="W30" s="1"/>
      <c r="X30" s="1"/>
      <c r="Y30" s="1"/>
      <c r="Z30" s="1"/>
    </row>
    <row r="31" spans="1:26">
      <c r="A31" s="3" t="s">
        <v>72</v>
      </c>
      <c r="B31" s="3" t="s">
        <v>316</v>
      </c>
      <c r="C31" s="3" t="s">
        <v>325</v>
      </c>
      <c r="D31" s="3" t="s">
        <v>329</v>
      </c>
      <c r="E31" s="7">
        <v>760500</v>
      </c>
      <c r="F31" s="7" t="s">
        <v>112</v>
      </c>
      <c r="G31" s="11" t="s">
        <v>86</v>
      </c>
      <c r="H31" s="3" t="s">
        <v>334</v>
      </c>
      <c r="I31" s="3" t="s">
        <v>335</v>
      </c>
      <c r="J31" s="1"/>
      <c r="K31" s="1"/>
      <c r="L31" s="1"/>
      <c r="M31" s="1"/>
      <c r="N31" s="1"/>
      <c r="O31" s="1"/>
      <c r="P31" s="1"/>
      <c r="Q31" s="1"/>
      <c r="R31" s="1"/>
      <c r="S31" s="1"/>
      <c r="T31" s="1"/>
      <c r="U31" s="1"/>
      <c r="V31" s="1"/>
      <c r="W31" s="1"/>
      <c r="X31" s="1"/>
      <c r="Y31" s="1"/>
      <c r="Z31" s="1"/>
    </row>
    <row r="32" spans="1:26">
      <c r="A32" s="3" t="s">
        <v>72</v>
      </c>
      <c r="B32" s="3" t="s">
        <v>316</v>
      </c>
      <c r="C32" s="3" t="s">
        <v>325</v>
      </c>
      <c r="D32" s="3" t="s">
        <v>330</v>
      </c>
      <c r="E32" s="7">
        <v>827700</v>
      </c>
      <c r="F32" s="7" t="s">
        <v>112</v>
      </c>
      <c r="G32" s="11" t="s">
        <v>86</v>
      </c>
      <c r="H32" s="3" t="s">
        <v>334</v>
      </c>
      <c r="I32" s="3" t="s">
        <v>335</v>
      </c>
      <c r="J32" s="1"/>
      <c r="K32" s="1"/>
      <c r="L32" s="1"/>
      <c r="M32" s="1"/>
      <c r="N32" s="1"/>
      <c r="O32" s="1"/>
      <c r="P32" s="1"/>
      <c r="Q32" s="1"/>
      <c r="R32" s="1"/>
      <c r="S32" s="1"/>
      <c r="T32" s="1"/>
      <c r="U32" s="1"/>
      <c r="V32" s="1"/>
      <c r="W32" s="1"/>
      <c r="X32" s="1"/>
      <c r="Y32" s="1"/>
      <c r="Z32" s="1"/>
    </row>
    <row r="33" spans="1:26">
      <c r="A33" s="3" t="s">
        <v>72</v>
      </c>
      <c r="B33" s="3" t="s">
        <v>316</v>
      </c>
      <c r="C33" s="3" t="s">
        <v>325</v>
      </c>
      <c r="D33" s="3" t="s">
        <v>331</v>
      </c>
      <c r="E33" s="7">
        <v>1210500</v>
      </c>
      <c r="F33" s="7" t="s">
        <v>112</v>
      </c>
      <c r="G33" s="11" t="s">
        <v>86</v>
      </c>
      <c r="H33" s="3" t="s">
        <v>334</v>
      </c>
      <c r="I33" s="3" t="s">
        <v>335</v>
      </c>
      <c r="J33" s="1"/>
      <c r="K33" s="1"/>
      <c r="L33" s="1"/>
      <c r="M33" s="1"/>
      <c r="N33" s="1"/>
      <c r="O33" s="1"/>
      <c r="P33" s="1"/>
      <c r="Q33" s="1"/>
      <c r="R33" s="1"/>
      <c r="S33" s="1"/>
      <c r="T33" s="1"/>
      <c r="U33" s="1"/>
      <c r="V33" s="1"/>
      <c r="W33" s="1"/>
      <c r="X33" s="1"/>
      <c r="Y33" s="1"/>
      <c r="Z33" s="1"/>
    </row>
    <row r="34" spans="1:26">
      <c r="A34" s="3" t="s">
        <v>72</v>
      </c>
      <c r="B34" s="3" t="s">
        <v>316</v>
      </c>
      <c r="C34" s="3" t="s">
        <v>325</v>
      </c>
      <c r="D34" s="3" t="s">
        <v>333</v>
      </c>
      <c r="E34" s="7">
        <v>584500</v>
      </c>
      <c r="F34" s="7" t="s">
        <v>112</v>
      </c>
      <c r="G34" s="11" t="s">
        <v>86</v>
      </c>
      <c r="H34" s="3" t="s">
        <v>334</v>
      </c>
      <c r="I34" s="3" t="s">
        <v>335</v>
      </c>
      <c r="J34" s="1"/>
      <c r="K34" s="1"/>
      <c r="L34" s="1"/>
      <c r="M34" s="1"/>
      <c r="N34" s="1"/>
      <c r="O34" s="1"/>
      <c r="P34" s="1"/>
      <c r="Q34" s="1"/>
      <c r="R34" s="1"/>
      <c r="S34" s="1"/>
      <c r="T34" s="1"/>
      <c r="U34" s="1"/>
      <c r="V34" s="1"/>
      <c r="W34" s="1"/>
      <c r="X34" s="1"/>
      <c r="Y34" s="1"/>
      <c r="Z34" s="1"/>
    </row>
    <row r="35" spans="1:26" ht="28">
      <c r="A35" s="3" t="s">
        <v>72</v>
      </c>
      <c r="B35" s="3" t="s">
        <v>316</v>
      </c>
      <c r="C35" s="3" t="s">
        <v>325</v>
      </c>
      <c r="D35" s="3" t="s">
        <v>332</v>
      </c>
      <c r="E35" s="7">
        <v>1007800</v>
      </c>
      <c r="F35" s="7" t="s">
        <v>112</v>
      </c>
      <c r="G35" s="11" t="s">
        <v>86</v>
      </c>
      <c r="H35" s="3" t="s">
        <v>334</v>
      </c>
      <c r="I35" s="3" t="s">
        <v>335</v>
      </c>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A1:I1"/>
    <mergeCell ref="A2:I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20"/>
  <sheetViews>
    <sheetView workbookViewId="0"/>
  </sheetViews>
  <sheetFormatPr defaultRowHeight="14"/>
  <cols>
    <col min="1" max="1" width="13" customWidth="1"/>
    <col min="2" max="2" width="14" customWidth="1"/>
    <col min="3" max="4" width="25" customWidth="1"/>
    <col min="5" max="5" width="10" customWidth="1"/>
    <col min="6" max="6" width="50" customWidth="1"/>
    <col min="7" max="7" width="52" customWidth="1"/>
    <col min="8" max="8" width="48" customWidth="1"/>
  </cols>
  <sheetData>
    <row r="1" spans="1:26" ht="18.649999999999999" customHeight="1">
      <c r="A1" s="140" t="s">
        <v>336</v>
      </c>
      <c r="B1" s="140"/>
      <c r="C1" s="140"/>
      <c r="D1" s="140"/>
      <c r="E1" s="140"/>
      <c r="F1" s="140"/>
      <c r="G1" s="140"/>
      <c r="H1" s="140"/>
      <c r="I1" s="1"/>
      <c r="J1" s="1"/>
      <c r="K1" s="1"/>
      <c r="L1" s="1"/>
      <c r="M1" s="1"/>
      <c r="N1" s="1"/>
      <c r="O1" s="1"/>
      <c r="P1" s="1"/>
      <c r="Q1" s="1"/>
      <c r="R1" s="1"/>
      <c r="S1" s="1"/>
      <c r="T1" s="1"/>
      <c r="U1" s="1"/>
      <c r="V1" s="1"/>
      <c r="W1" s="1"/>
      <c r="X1" s="1"/>
      <c r="Y1" s="1"/>
      <c r="Z1" s="1"/>
    </row>
    <row r="2" spans="1:26" ht="21.4" customHeight="1">
      <c r="A2" s="141" t="s">
        <v>337</v>
      </c>
      <c r="B2" s="141"/>
      <c r="C2" s="141"/>
      <c r="D2" s="141"/>
      <c r="E2" s="141"/>
      <c r="F2" s="141"/>
      <c r="G2" s="141"/>
      <c r="H2" s="14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28">
      <c r="A4" s="10" t="s">
        <v>302</v>
      </c>
      <c r="B4" s="10" t="s">
        <v>11</v>
      </c>
      <c r="C4" s="10" t="s">
        <v>338</v>
      </c>
      <c r="D4" s="10" t="s">
        <v>339</v>
      </c>
      <c r="E4" s="10" t="s">
        <v>308</v>
      </c>
      <c r="F4" s="10" t="s">
        <v>340</v>
      </c>
      <c r="G4" s="10" t="s">
        <v>341</v>
      </c>
      <c r="H4" s="10" t="s">
        <v>310</v>
      </c>
      <c r="I4" s="1"/>
      <c r="J4" s="1"/>
      <c r="K4" s="1"/>
      <c r="L4" s="1"/>
      <c r="M4" s="1"/>
      <c r="N4" s="1"/>
      <c r="O4" s="1"/>
      <c r="P4" s="1"/>
      <c r="Q4" s="1"/>
      <c r="R4" s="1"/>
      <c r="S4" s="1"/>
      <c r="T4" s="1"/>
      <c r="U4" s="1"/>
      <c r="V4" s="1"/>
      <c r="W4" s="1"/>
      <c r="X4" s="1"/>
      <c r="Y4" s="1"/>
      <c r="Z4" s="1"/>
    </row>
    <row r="5" spans="1:26">
      <c r="A5" s="3" t="s">
        <v>62</v>
      </c>
      <c r="B5" s="3" t="s">
        <v>311</v>
      </c>
      <c r="C5" s="7">
        <v>1662662</v>
      </c>
      <c r="D5" s="7">
        <v>1544500</v>
      </c>
      <c r="E5" s="11" t="s">
        <v>78</v>
      </c>
      <c r="F5" s="3"/>
      <c r="G5" s="3"/>
      <c r="H5" s="3"/>
      <c r="I5" s="1"/>
      <c r="J5" s="1"/>
      <c r="K5" s="1"/>
      <c r="L5" s="1"/>
      <c r="M5" s="1"/>
      <c r="N5" s="1"/>
      <c r="O5" s="1"/>
      <c r="P5" s="1"/>
      <c r="Q5" s="1"/>
      <c r="R5" s="1"/>
      <c r="S5" s="1"/>
      <c r="T5" s="1"/>
      <c r="U5" s="1"/>
      <c r="V5" s="1"/>
      <c r="W5" s="1"/>
      <c r="X5" s="1"/>
      <c r="Y5" s="1"/>
      <c r="Z5" s="1"/>
    </row>
    <row r="6" spans="1:26" ht="42">
      <c r="A6" s="3" t="s">
        <v>63</v>
      </c>
      <c r="B6" s="3" t="s">
        <v>311</v>
      </c>
      <c r="C6" s="7">
        <v>1781565</v>
      </c>
      <c r="D6" s="7">
        <v>2411300</v>
      </c>
      <c r="E6" s="11" t="s">
        <v>78</v>
      </c>
      <c r="F6" s="3"/>
      <c r="G6" s="3" t="s">
        <v>342</v>
      </c>
      <c r="H6" s="3" t="s">
        <v>343</v>
      </c>
      <c r="I6" s="1"/>
      <c r="J6" s="1"/>
      <c r="K6" s="1"/>
      <c r="L6" s="1"/>
      <c r="M6" s="1"/>
      <c r="N6" s="1"/>
      <c r="O6" s="1"/>
      <c r="P6" s="1"/>
      <c r="Q6" s="1"/>
      <c r="R6" s="1"/>
      <c r="S6" s="1"/>
      <c r="T6" s="1"/>
      <c r="U6" s="1"/>
      <c r="V6" s="1"/>
      <c r="W6" s="1"/>
      <c r="X6" s="1"/>
      <c r="Y6" s="1"/>
      <c r="Z6" s="1"/>
    </row>
    <row r="7" spans="1:26">
      <c r="A7" s="3" t="s">
        <v>64</v>
      </c>
      <c r="B7" s="3" t="s">
        <v>311</v>
      </c>
      <c r="C7" s="7">
        <v>2021195</v>
      </c>
      <c r="D7" s="7">
        <v>2371500</v>
      </c>
      <c r="E7" s="11" t="s">
        <v>78</v>
      </c>
      <c r="F7" s="3"/>
      <c r="G7" s="3"/>
      <c r="H7" s="3"/>
      <c r="I7" s="1"/>
      <c r="J7" s="1"/>
      <c r="K7" s="1"/>
      <c r="L7" s="1"/>
      <c r="M7" s="1"/>
      <c r="N7" s="1"/>
      <c r="O7" s="1"/>
      <c r="P7" s="1"/>
      <c r="Q7" s="1"/>
      <c r="R7" s="1"/>
      <c r="S7" s="1"/>
      <c r="T7" s="1"/>
      <c r="U7" s="1"/>
      <c r="V7" s="1"/>
      <c r="W7" s="1"/>
      <c r="X7" s="1"/>
      <c r="Y7" s="1"/>
      <c r="Z7" s="1"/>
    </row>
    <row r="8" spans="1:26">
      <c r="A8" s="3" t="s">
        <v>65</v>
      </c>
      <c r="B8" s="3" t="s">
        <v>316</v>
      </c>
      <c r="C8" s="7">
        <v>2076100</v>
      </c>
      <c r="D8" s="7">
        <v>2457100</v>
      </c>
      <c r="E8" s="11" t="s">
        <v>100</v>
      </c>
      <c r="F8" s="3"/>
      <c r="G8" s="3"/>
      <c r="H8" s="3"/>
      <c r="I8" s="1"/>
      <c r="J8" s="1"/>
      <c r="K8" s="1"/>
      <c r="L8" s="1"/>
      <c r="M8" s="1"/>
      <c r="N8" s="1"/>
      <c r="O8" s="1"/>
      <c r="P8" s="1"/>
      <c r="Q8" s="1"/>
      <c r="R8" s="1"/>
      <c r="S8" s="1"/>
      <c r="T8" s="1"/>
      <c r="U8" s="1"/>
      <c r="V8" s="1"/>
      <c r="W8" s="1"/>
      <c r="X8" s="1"/>
      <c r="Y8" s="1"/>
      <c r="Z8" s="1"/>
    </row>
    <row r="9" spans="1:26">
      <c r="A9" s="3" t="s">
        <v>66</v>
      </c>
      <c r="B9" s="3" t="s">
        <v>316</v>
      </c>
      <c r="C9" s="7">
        <v>2275200</v>
      </c>
      <c r="D9" s="7">
        <v>2636300</v>
      </c>
      <c r="E9" s="11" t="s">
        <v>100</v>
      </c>
      <c r="F9" s="3"/>
      <c r="G9" s="3"/>
      <c r="H9" s="3"/>
      <c r="I9" s="1"/>
      <c r="J9" s="1"/>
      <c r="K9" s="1"/>
      <c r="L9" s="1"/>
      <c r="M9" s="1"/>
      <c r="N9" s="1"/>
      <c r="O9" s="1"/>
      <c r="P9" s="1"/>
      <c r="Q9" s="1"/>
      <c r="R9" s="1"/>
      <c r="S9" s="1"/>
      <c r="T9" s="1"/>
      <c r="U9" s="1"/>
      <c r="V9" s="1"/>
      <c r="W9" s="1"/>
      <c r="X9" s="1"/>
      <c r="Y9" s="1"/>
      <c r="Z9" s="1"/>
    </row>
    <row r="10" spans="1:26">
      <c r="A10" s="3" t="s">
        <v>67</v>
      </c>
      <c r="B10" s="3" t="s">
        <v>316</v>
      </c>
      <c r="C10" s="7">
        <v>2223300</v>
      </c>
      <c r="D10" s="7">
        <v>2735100</v>
      </c>
      <c r="E10" s="11" t="s">
        <v>100</v>
      </c>
      <c r="F10" s="3"/>
      <c r="G10" s="3"/>
      <c r="H10" s="3"/>
      <c r="I10" s="1"/>
      <c r="J10" s="1"/>
      <c r="K10" s="1"/>
      <c r="L10" s="1"/>
      <c r="M10" s="1"/>
      <c r="N10" s="1"/>
      <c r="O10" s="1"/>
      <c r="P10" s="1"/>
      <c r="Q10" s="1"/>
      <c r="R10" s="1"/>
      <c r="S10" s="1"/>
      <c r="T10" s="1"/>
      <c r="U10" s="1"/>
      <c r="V10" s="1"/>
      <c r="W10" s="1"/>
      <c r="X10" s="1"/>
      <c r="Y10" s="1"/>
      <c r="Z10" s="1"/>
    </row>
    <row r="11" spans="1:26">
      <c r="A11" s="3" t="s">
        <v>68</v>
      </c>
      <c r="B11" s="3" t="s">
        <v>316</v>
      </c>
      <c r="C11" s="7">
        <v>2400800</v>
      </c>
      <c r="D11" s="7">
        <v>2860600</v>
      </c>
      <c r="E11" s="11" t="s">
        <v>100</v>
      </c>
      <c r="F11" s="3"/>
      <c r="G11" s="3"/>
      <c r="H11" s="3"/>
      <c r="I11" s="1"/>
      <c r="J11" s="1"/>
      <c r="K11" s="1"/>
      <c r="L11" s="1"/>
      <c r="M11" s="1"/>
      <c r="N11" s="1"/>
      <c r="O11" s="1"/>
      <c r="P11" s="1"/>
      <c r="Q11" s="1"/>
      <c r="R11" s="1"/>
      <c r="S11" s="1"/>
      <c r="T11" s="1"/>
      <c r="U11" s="1"/>
      <c r="V11" s="1"/>
      <c r="W11" s="1"/>
      <c r="X11" s="1"/>
      <c r="Y11" s="1"/>
      <c r="Z11" s="1"/>
    </row>
    <row r="12" spans="1:26" ht="28">
      <c r="A12" s="3" t="s">
        <v>69</v>
      </c>
      <c r="B12" s="3" t="s">
        <v>316</v>
      </c>
      <c r="C12" s="7">
        <v>2725600</v>
      </c>
      <c r="D12" s="7">
        <v>4653900</v>
      </c>
      <c r="E12" s="11" t="s">
        <v>83</v>
      </c>
      <c r="F12" s="3" t="s">
        <v>344</v>
      </c>
      <c r="G12" s="3"/>
      <c r="H12" s="3" t="s">
        <v>345</v>
      </c>
      <c r="I12" s="1"/>
      <c r="J12" s="1"/>
      <c r="K12" s="1"/>
      <c r="L12" s="1"/>
      <c r="M12" s="1"/>
      <c r="N12" s="1"/>
      <c r="O12" s="1"/>
      <c r="P12" s="1"/>
      <c r="Q12" s="1"/>
      <c r="R12" s="1"/>
      <c r="S12" s="1"/>
      <c r="T12" s="1"/>
      <c r="U12" s="1"/>
      <c r="V12" s="1"/>
      <c r="W12" s="1"/>
      <c r="X12" s="1"/>
      <c r="Y12" s="1"/>
      <c r="Z12" s="1"/>
    </row>
    <row r="13" spans="1:26" ht="28">
      <c r="A13" s="3" t="s">
        <v>70</v>
      </c>
      <c r="B13" s="3" t="s">
        <v>316</v>
      </c>
      <c r="C13" s="7">
        <v>4790900</v>
      </c>
      <c r="D13" s="7">
        <v>5859600</v>
      </c>
      <c r="E13" s="11" t="s">
        <v>84</v>
      </c>
      <c r="F13" s="3" t="s">
        <v>346</v>
      </c>
      <c r="G13" s="3"/>
      <c r="H13" s="3" t="s">
        <v>347</v>
      </c>
      <c r="I13" s="1"/>
      <c r="J13" s="1"/>
      <c r="K13" s="1"/>
      <c r="L13" s="1"/>
      <c r="M13" s="1"/>
      <c r="N13" s="1"/>
      <c r="O13" s="1"/>
      <c r="P13" s="1"/>
      <c r="Q13" s="1"/>
      <c r="R13" s="1"/>
      <c r="S13" s="1"/>
      <c r="T13" s="1"/>
      <c r="U13" s="1"/>
      <c r="V13" s="1"/>
      <c r="W13" s="1"/>
      <c r="X13" s="1"/>
      <c r="Y13" s="1"/>
      <c r="Z13" s="1"/>
    </row>
    <row r="14" spans="1:26">
      <c r="A14" s="3" t="s">
        <v>71</v>
      </c>
      <c r="B14" s="3" t="s">
        <v>316</v>
      </c>
      <c r="C14" s="7">
        <v>4961600</v>
      </c>
      <c r="D14" s="7">
        <v>6401200</v>
      </c>
      <c r="E14" s="11" t="s">
        <v>86</v>
      </c>
      <c r="F14" s="3"/>
      <c r="G14" s="3"/>
      <c r="H14" s="3"/>
      <c r="I14" s="1"/>
      <c r="J14" s="1"/>
      <c r="K14" s="1"/>
      <c r="L14" s="1"/>
      <c r="M14" s="1"/>
      <c r="N14" s="1"/>
      <c r="O14" s="1"/>
      <c r="P14" s="1"/>
      <c r="Q14" s="1"/>
      <c r="R14" s="1"/>
      <c r="S14" s="1"/>
      <c r="T14" s="1"/>
      <c r="U14" s="1"/>
      <c r="V14" s="1"/>
      <c r="W14" s="1"/>
      <c r="X14" s="1"/>
      <c r="Y14" s="1"/>
      <c r="Z14" s="1"/>
    </row>
    <row r="15" spans="1:26">
      <c r="A15" s="3" t="s">
        <v>72</v>
      </c>
      <c r="B15" s="3" t="s">
        <v>316</v>
      </c>
      <c r="C15" s="7">
        <v>6010500</v>
      </c>
      <c r="D15" s="7">
        <v>8240300</v>
      </c>
      <c r="E15" s="11" t="s">
        <v>86</v>
      </c>
      <c r="F15" s="3" t="s">
        <v>348</v>
      </c>
      <c r="G15" s="3"/>
      <c r="H15" s="3" t="s">
        <v>349</v>
      </c>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A1:H1"/>
    <mergeCell ref="A2:H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20"/>
  <sheetViews>
    <sheetView workbookViewId="0">
      <selection sqref="A1:J1"/>
    </sheetView>
  </sheetViews>
  <sheetFormatPr defaultRowHeight="14"/>
  <cols>
    <col min="1" max="2" width="12" customWidth="1"/>
    <col min="3" max="3" width="38" customWidth="1"/>
    <col min="4" max="4" width="18" customWidth="1"/>
    <col min="5" max="5" width="14" customWidth="1"/>
    <col min="6" max="6" width="10" customWidth="1"/>
    <col min="7" max="7" width="38" customWidth="1"/>
    <col min="8" max="8" width="36" customWidth="1"/>
    <col min="9" max="10" width="44" customWidth="1"/>
  </cols>
  <sheetData>
    <row r="1" spans="1:26" ht="18.649999999999999" customHeight="1">
      <c r="A1" s="140" t="s">
        <v>350</v>
      </c>
      <c r="B1" s="140"/>
      <c r="C1" s="140"/>
      <c r="D1" s="140"/>
      <c r="E1" s="140"/>
      <c r="F1" s="140"/>
      <c r="G1" s="140"/>
      <c r="H1" s="140"/>
      <c r="I1" s="140"/>
      <c r="J1" s="140"/>
      <c r="K1" s="1"/>
      <c r="L1" s="1"/>
      <c r="M1" s="1"/>
      <c r="N1" s="1"/>
      <c r="O1" s="1"/>
      <c r="P1" s="1"/>
      <c r="Q1" s="1"/>
      <c r="R1" s="1"/>
      <c r="S1" s="1"/>
      <c r="T1" s="1"/>
      <c r="U1" s="1"/>
      <c r="V1" s="1"/>
      <c r="W1" s="1"/>
      <c r="X1" s="1"/>
      <c r="Y1" s="1"/>
      <c r="Z1" s="1"/>
    </row>
    <row r="2" spans="1:26" ht="21.4" customHeight="1">
      <c r="A2" s="141" t="s">
        <v>351</v>
      </c>
      <c r="B2" s="141"/>
      <c r="C2" s="141"/>
      <c r="D2" s="141"/>
      <c r="E2" s="141"/>
      <c r="F2" s="141"/>
      <c r="G2" s="141"/>
      <c r="H2" s="141"/>
      <c r="I2" s="141"/>
      <c r="J2" s="14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0" t="s">
        <v>302</v>
      </c>
      <c r="B4" s="10" t="s">
        <v>352</v>
      </c>
      <c r="C4" s="10" t="s">
        <v>59</v>
      </c>
      <c r="D4" s="10" t="s">
        <v>353</v>
      </c>
      <c r="E4" s="10" t="s">
        <v>60</v>
      </c>
      <c r="F4" s="10" t="s">
        <v>308</v>
      </c>
      <c r="G4" s="10" t="s">
        <v>354</v>
      </c>
      <c r="H4" s="10" t="s">
        <v>355</v>
      </c>
      <c r="I4" s="10" t="s">
        <v>356</v>
      </c>
      <c r="J4" s="10" t="s">
        <v>310</v>
      </c>
      <c r="K4" s="1"/>
      <c r="L4" s="1"/>
      <c r="M4" s="1"/>
      <c r="N4" s="1"/>
      <c r="O4" s="1"/>
      <c r="P4" s="1"/>
      <c r="Q4" s="1"/>
      <c r="R4" s="1"/>
      <c r="S4" s="1"/>
      <c r="T4" s="1"/>
      <c r="U4" s="1"/>
      <c r="V4" s="1"/>
      <c r="W4" s="1"/>
      <c r="X4" s="1"/>
      <c r="Y4" s="1"/>
      <c r="Z4" s="1"/>
    </row>
    <row r="5" spans="1:26">
      <c r="A5" s="3" t="s">
        <v>62</v>
      </c>
      <c r="B5" s="3" t="s">
        <v>311</v>
      </c>
      <c r="C5" s="3" t="s">
        <v>357</v>
      </c>
      <c r="D5" s="7">
        <v>51627</v>
      </c>
      <c r="E5" s="3" t="s">
        <v>75</v>
      </c>
      <c r="F5" s="11" t="s">
        <v>77</v>
      </c>
      <c r="G5" s="3" t="s">
        <v>358</v>
      </c>
      <c r="H5" s="3" t="s">
        <v>112</v>
      </c>
      <c r="I5" s="3" t="s">
        <v>112</v>
      </c>
      <c r="J5" s="3"/>
      <c r="K5" s="1"/>
      <c r="L5" s="1"/>
      <c r="M5" s="1"/>
      <c r="N5" s="1"/>
      <c r="O5" s="1"/>
      <c r="P5" s="1"/>
      <c r="Q5" s="1"/>
      <c r="R5" s="1"/>
      <c r="S5" s="1"/>
      <c r="T5" s="1"/>
      <c r="U5" s="1"/>
      <c r="V5" s="1"/>
      <c r="W5" s="1"/>
      <c r="X5" s="1"/>
      <c r="Y5" s="1"/>
      <c r="Z5" s="1"/>
    </row>
    <row r="6" spans="1:26">
      <c r="A6" s="3" t="s">
        <v>62</v>
      </c>
      <c r="B6" s="3" t="s">
        <v>311</v>
      </c>
      <c r="C6" s="3" t="s">
        <v>359</v>
      </c>
      <c r="D6" s="7">
        <v>29245</v>
      </c>
      <c r="E6" s="3" t="s">
        <v>75</v>
      </c>
      <c r="F6" s="11" t="s">
        <v>77</v>
      </c>
      <c r="G6" s="3" t="s">
        <v>358</v>
      </c>
      <c r="H6" s="3" t="s">
        <v>112</v>
      </c>
      <c r="I6" s="3" t="s">
        <v>112</v>
      </c>
      <c r="J6" s="3"/>
      <c r="K6" s="1"/>
      <c r="L6" s="1"/>
      <c r="M6" s="1"/>
      <c r="N6" s="1"/>
      <c r="O6" s="1"/>
      <c r="P6" s="1"/>
      <c r="Q6" s="1"/>
      <c r="R6" s="1"/>
      <c r="S6" s="1"/>
      <c r="T6" s="1"/>
      <c r="U6" s="1"/>
      <c r="V6" s="1"/>
      <c r="W6" s="1"/>
      <c r="X6" s="1"/>
      <c r="Y6" s="1"/>
      <c r="Z6" s="1"/>
    </row>
    <row r="7" spans="1:26">
      <c r="A7" s="3" t="s">
        <v>62</v>
      </c>
      <c r="B7" s="3" t="s">
        <v>311</v>
      </c>
      <c r="C7" s="3" t="s">
        <v>360</v>
      </c>
      <c r="D7" s="7">
        <v>210062</v>
      </c>
      <c r="E7" s="3" t="s">
        <v>75</v>
      </c>
      <c r="F7" s="11" t="s">
        <v>77</v>
      </c>
      <c r="G7" s="3" t="s">
        <v>358</v>
      </c>
      <c r="H7" s="3" t="s">
        <v>112</v>
      </c>
      <c r="I7" s="3" t="s">
        <v>112</v>
      </c>
      <c r="J7" s="3"/>
      <c r="K7" s="1"/>
      <c r="L7" s="1"/>
      <c r="M7" s="1"/>
      <c r="N7" s="1"/>
      <c r="O7" s="1"/>
      <c r="P7" s="1"/>
      <c r="Q7" s="1"/>
      <c r="R7" s="1"/>
      <c r="S7" s="1"/>
      <c r="T7" s="1"/>
      <c r="U7" s="1"/>
      <c r="V7" s="1"/>
      <c r="W7" s="1"/>
      <c r="X7" s="1"/>
      <c r="Y7" s="1"/>
      <c r="Z7" s="1"/>
    </row>
    <row r="8" spans="1:26">
      <c r="A8" s="3" t="s">
        <v>62</v>
      </c>
      <c r="B8" s="3" t="s">
        <v>311</v>
      </c>
      <c r="C8" s="3" t="s">
        <v>361</v>
      </c>
      <c r="D8" s="7">
        <v>109451</v>
      </c>
      <c r="E8" s="3" t="s">
        <v>75</v>
      </c>
      <c r="F8" s="11" t="s">
        <v>77</v>
      </c>
      <c r="G8" s="3" t="s">
        <v>358</v>
      </c>
      <c r="H8" s="3" t="s">
        <v>112</v>
      </c>
      <c r="I8" s="3" t="s">
        <v>112</v>
      </c>
      <c r="J8" s="3"/>
      <c r="K8" s="1"/>
      <c r="L8" s="1"/>
      <c r="M8" s="1"/>
      <c r="N8" s="1"/>
      <c r="O8" s="1"/>
      <c r="P8" s="1"/>
      <c r="Q8" s="1"/>
      <c r="R8" s="1"/>
      <c r="S8" s="1"/>
      <c r="T8" s="1"/>
      <c r="U8" s="1"/>
      <c r="V8" s="1"/>
      <c r="W8" s="1"/>
      <c r="X8" s="1"/>
      <c r="Y8" s="1"/>
      <c r="Z8" s="1"/>
    </row>
    <row r="9" spans="1:26">
      <c r="A9" s="3" t="s">
        <v>62</v>
      </c>
      <c r="B9" s="3" t="s">
        <v>311</v>
      </c>
      <c r="C9" s="3" t="s">
        <v>362</v>
      </c>
      <c r="D9" s="7">
        <v>400387</v>
      </c>
      <c r="E9" s="3" t="s">
        <v>75</v>
      </c>
      <c r="F9" s="11" t="s">
        <v>77</v>
      </c>
      <c r="G9" s="3" t="s">
        <v>358</v>
      </c>
      <c r="H9" s="3" t="s">
        <v>112</v>
      </c>
      <c r="I9" s="3" t="s">
        <v>112</v>
      </c>
      <c r="J9" s="3"/>
      <c r="K9" s="1"/>
      <c r="L9" s="1"/>
      <c r="M9" s="1"/>
      <c r="N9" s="1"/>
      <c r="O9" s="1"/>
      <c r="P9" s="1"/>
      <c r="Q9" s="1"/>
      <c r="R9" s="1"/>
      <c r="S9" s="1"/>
      <c r="T9" s="1"/>
      <c r="U9" s="1"/>
      <c r="V9" s="1"/>
      <c r="W9" s="1"/>
      <c r="X9" s="1"/>
      <c r="Y9" s="1"/>
      <c r="Z9" s="1"/>
    </row>
    <row r="10" spans="1:26">
      <c r="A10" s="3" t="s">
        <v>62</v>
      </c>
      <c r="B10" s="3" t="s">
        <v>311</v>
      </c>
      <c r="C10" s="3" t="s">
        <v>363</v>
      </c>
      <c r="D10" s="7">
        <v>5492</v>
      </c>
      <c r="E10" s="3" t="s">
        <v>75</v>
      </c>
      <c r="F10" s="11" t="s">
        <v>77</v>
      </c>
      <c r="G10" s="3" t="s">
        <v>358</v>
      </c>
      <c r="H10" s="3" t="s">
        <v>112</v>
      </c>
      <c r="I10" s="3" t="s">
        <v>112</v>
      </c>
      <c r="J10" s="3"/>
      <c r="K10" s="1"/>
      <c r="L10" s="1"/>
      <c r="M10" s="1"/>
      <c r="N10" s="1"/>
      <c r="O10" s="1"/>
      <c r="P10" s="1"/>
      <c r="Q10" s="1"/>
      <c r="R10" s="1"/>
      <c r="S10" s="1"/>
      <c r="T10" s="1"/>
      <c r="U10" s="1"/>
      <c r="V10" s="1"/>
      <c r="W10" s="1"/>
      <c r="X10" s="1"/>
      <c r="Y10" s="1"/>
      <c r="Z10" s="1"/>
    </row>
    <row r="11" spans="1:26">
      <c r="A11" s="3" t="s">
        <v>63</v>
      </c>
      <c r="B11" s="3" t="s">
        <v>311</v>
      </c>
      <c r="C11" s="3" t="s">
        <v>357</v>
      </c>
      <c r="D11" s="7">
        <v>213160</v>
      </c>
      <c r="E11" s="3" t="s">
        <v>75</v>
      </c>
      <c r="F11" s="11" t="s">
        <v>78</v>
      </c>
      <c r="G11" s="3" t="s">
        <v>358</v>
      </c>
      <c r="H11" s="3" t="s">
        <v>112</v>
      </c>
      <c r="I11" s="3" t="s">
        <v>112</v>
      </c>
      <c r="J11" s="3"/>
      <c r="K11" s="1"/>
      <c r="L11" s="1"/>
      <c r="M11" s="1"/>
      <c r="N11" s="1"/>
      <c r="O11" s="1"/>
      <c r="P11" s="1"/>
      <c r="Q11" s="1"/>
      <c r="R11" s="1"/>
      <c r="S11" s="1"/>
      <c r="T11" s="1"/>
      <c r="U11" s="1"/>
      <c r="V11" s="1"/>
      <c r="W11" s="1"/>
      <c r="X11" s="1"/>
      <c r="Y11" s="1"/>
      <c r="Z11" s="1"/>
    </row>
    <row r="12" spans="1:26">
      <c r="A12" s="3" t="s">
        <v>63</v>
      </c>
      <c r="B12" s="3" t="s">
        <v>311</v>
      </c>
      <c r="C12" s="3" t="s">
        <v>359</v>
      </c>
      <c r="D12" s="7">
        <v>53461</v>
      </c>
      <c r="E12" s="3" t="s">
        <v>75</v>
      </c>
      <c r="F12" s="11" t="s">
        <v>78</v>
      </c>
      <c r="G12" s="3" t="s">
        <v>358</v>
      </c>
      <c r="H12" s="3" t="s">
        <v>112</v>
      </c>
      <c r="I12" s="3" t="s">
        <v>112</v>
      </c>
      <c r="J12" s="3"/>
      <c r="K12" s="1"/>
      <c r="L12" s="1"/>
      <c r="M12" s="1"/>
      <c r="N12" s="1"/>
      <c r="O12" s="1"/>
      <c r="P12" s="1"/>
      <c r="Q12" s="1"/>
      <c r="R12" s="1"/>
      <c r="S12" s="1"/>
      <c r="T12" s="1"/>
      <c r="U12" s="1"/>
      <c r="V12" s="1"/>
      <c r="W12" s="1"/>
      <c r="X12" s="1"/>
      <c r="Y12" s="1"/>
      <c r="Z12" s="1"/>
    </row>
    <row r="13" spans="1:26">
      <c r="A13" s="3" t="s">
        <v>63</v>
      </c>
      <c r="B13" s="3" t="s">
        <v>311</v>
      </c>
      <c r="C13" s="3" t="s">
        <v>364</v>
      </c>
      <c r="D13" s="7">
        <v>49996</v>
      </c>
      <c r="E13" s="3" t="s">
        <v>75</v>
      </c>
      <c r="F13" s="11" t="s">
        <v>78</v>
      </c>
      <c r="G13" s="3" t="s">
        <v>358</v>
      </c>
      <c r="H13" s="3" t="s">
        <v>112</v>
      </c>
      <c r="I13" s="3" t="s">
        <v>112</v>
      </c>
      <c r="J13" s="3"/>
      <c r="K13" s="1"/>
      <c r="L13" s="1"/>
      <c r="M13" s="1"/>
      <c r="N13" s="1"/>
      <c r="O13" s="1"/>
      <c r="P13" s="1"/>
      <c r="Q13" s="1"/>
      <c r="R13" s="1"/>
      <c r="S13" s="1"/>
      <c r="T13" s="1"/>
      <c r="U13" s="1"/>
      <c r="V13" s="1"/>
      <c r="W13" s="1"/>
      <c r="X13" s="1"/>
      <c r="Y13" s="1"/>
      <c r="Z13" s="1"/>
    </row>
    <row r="14" spans="1:26">
      <c r="A14" s="3" t="s">
        <v>63</v>
      </c>
      <c r="B14" s="3" t="s">
        <v>311</v>
      </c>
      <c r="C14" s="3" t="s">
        <v>360</v>
      </c>
      <c r="D14" s="7">
        <v>160075</v>
      </c>
      <c r="E14" s="3" t="s">
        <v>75</v>
      </c>
      <c r="F14" s="11" t="s">
        <v>78</v>
      </c>
      <c r="G14" s="3" t="s">
        <v>358</v>
      </c>
      <c r="H14" s="3" t="s">
        <v>112</v>
      </c>
      <c r="I14" s="3" t="s">
        <v>112</v>
      </c>
      <c r="J14" s="3"/>
      <c r="K14" s="1"/>
      <c r="L14" s="1"/>
      <c r="M14" s="1"/>
      <c r="N14" s="1"/>
      <c r="O14" s="1"/>
      <c r="P14" s="1"/>
      <c r="Q14" s="1"/>
      <c r="R14" s="1"/>
      <c r="S14" s="1"/>
      <c r="T14" s="1"/>
      <c r="U14" s="1"/>
      <c r="V14" s="1"/>
      <c r="W14" s="1"/>
      <c r="X14" s="1"/>
      <c r="Y14" s="1"/>
      <c r="Z14" s="1"/>
    </row>
    <row r="15" spans="1:26">
      <c r="A15" s="3" t="s">
        <v>63</v>
      </c>
      <c r="B15" s="3" t="s">
        <v>311</v>
      </c>
      <c r="C15" s="3" t="s">
        <v>361</v>
      </c>
      <c r="D15" s="7">
        <v>168618</v>
      </c>
      <c r="E15" s="3" t="s">
        <v>75</v>
      </c>
      <c r="F15" s="11" t="s">
        <v>78</v>
      </c>
      <c r="G15" s="3" t="s">
        <v>358</v>
      </c>
      <c r="H15" s="3" t="s">
        <v>112</v>
      </c>
      <c r="I15" s="3" t="s">
        <v>112</v>
      </c>
      <c r="J15" s="3"/>
      <c r="K15" s="1"/>
      <c r="L15" s="1"/>
      <c r="M15" s="1"/>
      <c r="N15" s="1"/>
      <c r="O15" s="1"/>
      <c r="P15" s="1"/>
      <c r="Q15" s="1"/>
      <c r="R15" s="1"/>
      <c r="S15" s="1"/>
      <c r="T15" s="1"/>
      <c r="U15" s="1"/>
      <c r="V15" s="1"/>
      <c r="W15" s="1"/>
      <c r="X15" s="1"/>
      <c r="Y15" s="1"/>
      <c r="Z15" s="1"/>
    </row>
    <row r="16" spans="1:26">
      <c r="A16" s="3" t="s">
        <v>63</v>
      </c>
      <c r="B16" s="3" t="s">
        <v>311</v>
      </c>
      <c r="C16" s="3" t="s">
        <v>362</v>
      </c>
      <c r="D16" s="7">
        <v>650814</v>
      </c>
      <c r="E16" s="3" t="s">
        <v>75</v>
      </c>
      <c r="F16" s="11" t="s">
        <v>78</v>
      </c>
      <c r="G16" s="3" t="s">
        <v>358</v>
      </c>
      <c r="H16" s="3" t="s">
        <v>112</v>
      </c>
      <c r="I16" s="3" t="s">
        <v>112</v>
      </c>
      <c r="J16" s="3"/>
      <c r="K16" s="1"/>
      <c r="L16" s="1"/>
      <c r="M16" s="1"/>
      <c r="N16" s="1"/>
      <c r="O16" s="1"/>
      <c r="P16" s="1"/>
      <c r="Q16" s="1"/>
      <c r="R16" s="1"/>
      <c r="S16" s="1"/>
      <c r="T16" s="1"/>
      <c r="U16" s="1"/>
      <c r="V16" s="1"/>
      <c r="W16" s="1"/>
      <c r="X16" s="1"/>
      <c r="Y16" s="1"/>
      <c r="Z16" s="1"/>
    </row>
    <row r="17" spans="1:26">
      <c r="A17" s="3" t="s">
        <v>63</v>
      </c>
      <c r="B17" s="3" t="s">
        <v>311</v>
      </c>
      <c r="C17" s="3" t="s">
        <v>363</v>
      </c>
      <c r="D17" s="7">
        <v>5372</v>
      </c>
      <c r="E17" s="3" t="s">
        <v>75</v>
      </c>
      <c r="F17" s="11" t="s">
        <v>78</v>
      </c>
      <c r="G17" s="3" t="s">
        <v>358</v>
      </c>
      <c r="H17" s="3" t="s">
        <v>112</v>
      </c>
      <c r="I17" s="3" t="s">
        <v>112</v>
      </c>
      <c r="J17" s="3"/>
      <c r="K17" s="1"/>
      <c r="L17" s="1"/>
      <c r="M17" s="1"/>
      <c r="N17" s="1"/>
      <c r="O17" s="1"/>
      <c r="P17" s="1"/>
      <c r="Q17" s="1"/>
      <c r="R17" s="1"/>
      <c r="S17" s="1"/>
      <c r="T17" s="1"/>
      <c r="U17" s="1"/>
      <c r="V17" s="1"/>
      <c r="W17" s="1"/>
      <c r="X17" s="1"/>
      <c r="Y17" s="1"/>
      <c r="Z17" s="1"/>
    </row>
    <row r="18" spans="1:26">
      <c r="A18" s="3" t="s">
        <v>64</v>
      </c>
      <c r="B18" s="3" t="s">
        <v>311</v>
      </c>
      <c r="C18" s="3" t="s">
        <v>357</v>
      </c>
      <c r="D18" s="7">
        <v>46846</v>
      </c>
      <c r="E18" s="3" t="s">
        <v>75</v>
      </c>
      <c r="F18" s="11" t="s">
        <v>78</v>
      </c>
      <c r="G18" s="3" t="s">
        <v>358</v>
      </c>
      <c r="H18" s="3" t="s">
        <v>112</v>
      </c>
      <c r="I18" s="3" t="s">
        <v>112</v>
      </c>
      <c r="J18" s="3"/>
      <c r="K18" s="1"/>
      <c r="L18" s="1"/>
      <c r="M18" s="1"/>
      <c r="N18" s="1"/>
      <c r="O18" s="1"/>
      <c r="P18" s="1"/>
      <c r="Q18" s="1"/>
      <c r="R18" s="1"/>
      <c r="S18" s="1"/>
      <c r="T18" s="1"/>
      <c r="U18" s="1"/>
      <c r="V18" s="1"/>
      <c r="W18" s="1"/>
      <c r="X18" s="1"/>
      <c r="Y18" s="1"/>
      <c r="Z18" s="1"/>
    </row>
    <row r="19" spans="1:26">
      <c r="A19" s="3" t="s">
        <v>64</v>
      </c>
      <c r="B19" s="3" t="s">
        <v>311</v>
      </c>
      <c r="C19" s="3" t="s">
        <v>359</v>
      </c>
      <c r="D19" s="7">
        <v>567</v>
      </c>
      <c r="E19" s="3" t="s">
        <v>75</v>
      </c>
      <c r="F19" s="11" t="s">
        <v>78</v>
      </c>
      <c r="G19" s="3" t="s">
        <v>358</v>
      </c>
      <c r="H19" s="3" t="s">
        <v>112</v>
      </c>
      <c r="I19" s="3" t="s">
        <v>112</v>
      </c>
      <c r="J19" s="3"/>
      <c r="K19" s="1"/>
      <c r="L19" s="1"/>
      <c r="M19" s="1"/>
      <c r="N19" s="1"/>
      <c r="O19" s="1"/>
      <c r="P19" s="1"/>
      <c r="Q19" s="1"/>
      <c r="R19" s="1"/>
      <c r="S19" s="1"/>
      <c r="T19" s="1"/>
      <c r="U19" s="1"/>
      <c r="V19" s="1"/>
      <c r="W19" s="1"/>
      <c r="X19" s="1"/>
      <c r="Y19" s="1"/>
      <c r="Z19" s="1"/>
    </row>
    <row r="20" spans="1:26">
      <c r="A20" s="3" t="s">
        <v>64</v>
      </c>
      <c r="B20" s="3" t="s">
        <v>311</v>
      </c>
      <c r="C20" s="3" t="s">
        <v>364</v>
      </c>
      <c r="D20" s="7">
        <v>50000</v>
      </c>
      <c r="E20" s="3" t="s">
        <v>75</v>
      </c>
      <c r="F20" s="11" t="s">
        <v>78</v>
      </c>
      <c r="G20" s="3" t="s">
        <v>358</v>
      </c>
      <c r="H20" s="3" t="s">
        <v>112</v>
      </c>
      <c r="I20" s="3" t="s">
        <v>112</v>
      </c>
      <c r="J20" s="3"/>
      <c r="K20" s="1"/>
      <c r="L20" s="1"/>
      <c r="M20" s="1"/>
      <c r="N20" s="1"/>
      <c r="O20" s="1"/>
      <c r="P20" s="1"/>
      <c r="Q20" s="1"/>
      <c r="R20" s="1"/>
      <c r="S20" s="1"/>
      <c r="T20" s="1"/>
      <c r="U20" s="1"/>
      <c r="V20" s="1"/>
      <c r="W20" s="1"/>
      <c r="X20" s="1"/>
      <c r="Y20" s="1"/>
      <c r="Z20" s="1"/>
    </row>
    <row r="21" spans="1:26">
      <c r="A21" s="3" t="s">
        <v>64</v>
      </c>
      <c r="B21" s="3" t="s">
        <v>311</v>
      </c>
      <c r="C21" s="3" t="s">
        <v>360</v>
      </c>
      <c r="D21" s="7">
        <v>110081</v>
      </c>
      <c r="E21" s="3" t="s">
        <v>75</v>
      </c>
      <c r="F21" s="11" t="s">
        <v>78</v>
      </c>
      <c r="G21" s="3" t="s">
        <v>358</v>
      </c>
      <c r="H21" s="3" t="s">
        <v>112</v>
      </c>
      <c r="I21" s="3" t="s">
        <v>112</v>
      </c>
      <c r="J21" s="3"/>
      <c r="K21" s="1"/>
      <c r="L21" s="1"/>
      <c r="M21" s="1"/>
      <c r="N21" s="1"/>
      <c r="O21" s="1"/>
      <c r="P21" s="1"/>
      <c r="Q21" s="1"/>
      <c r="R21" s="1"/>
      <c r="S21" s="1"/>
      <c r="T21" s="1"/>
      <c r="U21" s="1"/>
      <c r="V21" s="1"/>
      <c r="W21" s="1"/>
      <c r="X21" s="1"/>
      <c r="Y21" s="1"/>
      <c r="Z21" s="1"/>
    </row>
    <row r="22" spans="1:26">
      <c r="A22" s="3" t="s">
        <v>64</v>
      </c>
      <c r="B22" s="3" t="s">
        <v>311</v>
      </c>
      <c r="C22" s="3" t="s">
        <v>361</v>
      </c>
      <c r="D22" s="7">
        <v>358779</v>
      </c>
      <c r="E22" s="3" t="s">
        <v>75</v>
      </c>
      <c r="F22" s="11" t="s">
        <v>78</v>
      </c>
      <c r="G22" s="3" t="s">
        <v>358</v>
      </c>
      <c r="H22" s="3" t="s">
        <v>112</v>
      </c>
      <c r="I22" s="3" t="s">
        <v>112</v>
      </c>
      <c r="J22" s="3"/>
      <c r="K22" s="1"/>
      <c r="L22" s="1"/>
      <c r="M22" s="1"/>
      <c r="N22" s="1"/>
      <c r="O22" s="1"/>
      <c r="P22" s="1"/>
      <c r="Q22" s="1"/>
      <c r="R22" s="1"/>
      <c r="S22" s="1"/>
      <c r="T22" s="1"/>
      <c r="U22" s="1"/>
      <c r="V22" s="1"/>
      <c r="W22" s="1"/>
      <c r="X22" s="1"/>
      <c r="Y22" s="1"/>
      <c r="Z22" s="1"/>
    </row>
    <row r="23" spans="1:26">
      <c r="A23" s="3" t="s">
        <v>64</v>
      </c>
      <c r="B23" s="3" t="s">
        <v>311</v>
      </c>
      <c r="C23" s="3" t="s">
        <v>362</v>
      </c>
      <c r="D23" s="7">
        <v>592003</v>
      </c>
      <c r="E23" s="3" t="s">
        <v>75</v>
      </c>
      <c r="F23" s="11" t="s">
        <v>78</v>
      </c>
      <c r="G23" s="3" t="s">
        <v>358</v>
      </c>
      <c r="H23" s="3" t="s">
        <v>112</v>
      </c>
      <c r="I23" s="3" t="s">
        <v>112</v>
      </c>
      <c r="J23" s="3"/>
      <c r="K23" s="1"/>
      <c r="L23" s="1"/>
      <c r="M23" s="1"/>
      <c r="N23" s="1"/>
      <c r="O23" s="1"/>
      <c r="P23" s="1"/>
      <c r="Q23" s="1"/>
      <c r="R23" s="1"/>
      <c r="S23" s="1"/>
      <c r="T23" s="1"/>
      <c r="U23" s="1"/>
      <c r="V23" s="1"/>
      <c r="W23" s="1"/>
      <c r="X23" s="1"/>
      <c r="Y23" s="1"/>
      <c r="Z23" s="1"/>
    </row>
    <row r="24" spans="1:26">
      <c r="A24" s="3" t="s">
        <v>64</v>
      </c>
      <c r="B24" s="3" t="s">
        <v>311</v>
      </c>
      <c r="C24" s="3" t="s">
        <v>363</v>
      </c>
      <c r="D24" s="7">
        <v>6051</v>
      </c>
      <c r="E24" s="3" t="s">
        <v>75</v>
      </c>
      <c r="F24" s="11" t="s">
        <v>78</v>
      </c>
      <c r="G24" s="3" t="s">
        <v>358</v>
      </c>
      <c r="H24" s="3" t="s">
        <v>112</v>
      </c>
      <c r="I24" s="3" t="s">
        <v>112</v>
      </c>
      <c r="J24" s="3"/>
      <c r="K24" s="1"/>
      <c r="L24" s="1"/>
      <c r="M24" s="1"/>
      <c r="N24" s="1"/>
      <c r="O24" s="1"/>
      <c r="P24" s="1"/>
      <c r="Q24" s="1"/>
      <c r="R24" s="1"/>
      <c r="S24" s="1"/>
      <c r="T24" s="1"/>
      <c r="U24" s="1"/>
      <c r="V24" s="1"/>
      <c r="W24" s="1"/>
      <c r="X24" s="1"/>
      <c r="Y24" s="1"/>
      <c r="Z24" s="1"/>
    </row>
    <row r="25" spans="1:26">
      <c r="A25" s="3" t="s">
        <v>65</v>
      </c>
      <c r="B25" s="3" t="s">
        <v>316</v>
      </c>
      <c r="C25" s="3" t="s">
        <v>365</v>
      </c>
      <c r="D25" s="7">
        <v>134586</v>
      </c>
      <c r="E25" s="3" t="s">
        <v>75</v>
      </c>
      <c r="F25" s="11" t="s">
        <v>79</v>
      </c>
      <c r="G25" s="3" t="s">
        <v>366</v>
      </c>
      <c r="H25" s="3" t="s">
        <v>112</v>
      </c>
      <c r="I25" s="3" t="s">
        <v>112</v>
      </c>
      <c r="J25" s="3"/>
      <c r="K25" s="1"/>
      <c r="L25" s="1"/>
      <c r="M25" s="1"/>
      <c r="N25" s="1"/>
      <c r="O25" s="1"/>
      <c r="P25" s="1"/>
      <c r="Q25" s="1"/>
      <c r="R25" s="1"/>
      <c r="S25" s="1"/>
      <c r="T25" s="1"/>
      <c r="U25" s="1"/>
      <c r="V25" s="1"/>
      <c r="W25" s="1"/>
      <c r="X25" s="1"/>
      <c r="Y25" s="1"/>
      <c r="Z25" s="1"/>
    </row>
    <row r="26" spans="1:26">
      <c r="A26" s="3" t="s">
        <v>65</v>
      </c>
      <c r="B26" s="3" t="s">
        <v>316</v>
      </c>
      <c r="C26" s="3" t="s">
        <v>367</v>
      </c>
      <c r="D26" s="7">
        <v>446437</v>
      </c>
      <c r="E26" s="3" t="s">
        <v>75</v>
      </c>
      <c r="F26" s="11" t="s">
        <v>79</v>
      </c>
      <c r="G26" s="3" t="s">
        <v>366</v>
      </c>
      <c r="H26" s="3" t="s">
        <v>112</v>
      </c>
      <c r="I26" s="3" t="s">
        <v>112</v>
      </c>
      <c r="J26" s="3"/>
      <c r="K26" s="1"/>
      <c r="L26" s="1"/>
      <c r="M26" s="1"/>
      <c r="N26" s="1"/>
      <c r="O26" s="1"/>
      <c r="P26" s="1"/>
      <c r="Q26" s="1"/>
      <c r="R26" s="1"/>
      <c r="S26" s="1"/>
      <c r="T26" s="1"/>
      <c r="U26" s="1"/>
      <c r="V26" s="1"/>
      <c r="W26" s="1"/>
      <c r="X26" s="1"/>
      <c r="Y26" s="1"/>
      <c r="Z26" s="1"/>
    </row>
    <row r="27" spans="1:26">
      <c r="A27" s="3" t="s">
        <v>65</v>
      </c>
      <c r="B27" s="3" t="s">
        <v>316</v>
      </c>
      <c r="C27" s="3" t="s">
        <v>158</v>
      </c>
      <c r="D27" s="7" t="s">
        <v>112</v>
      </c>
      <c r="E27" s="3" t="s">
        <v>75</v>
      </c>
      <c r="F27" s="11" t="s">
        <v>79</v>
      </c>
      <c r="G27" s="3" t="s">
        <v>366</v>
      </c>
      <c r="H27" s="3" t="s">
        <v>112</v>
      </c>
      <c r="I27" s="3" t="s">
        <v>112</v>
      </c>
      <c r="J27" s="3"/>
      <c r="K27" s="1"/>
      <c r="L27" s="1"/>
      <c r="M27" s="1"/>
      <c r="N27" s="1"/>
      <c r="O27" s="1"/>
      <c r="P27" s="1"/>
      <c r="Q27" s="1"/>
      <c r="R27" s="1"/>
      <c r="S27" s="1"/>
      <c r="T27" s="1"/>
      <c r="U27" s="1"/>
      <c r="V27" s="1"/>
      <c r="W27" s="1"/>
      <c r="X27" s="1"/>
      <c r="Y27" s="1"/>
      <c r="Z27" s="1"/>
    </row>
    <row r="28" spans="1:26">
      <c r="A28" s="3" t="s">
        <v>65</v>
      </c>
      <c r="B28" s="3" t="s">
        <v>316</v>
      </c>
      <c r="C28" s="3" t="s">
        <v>161</v>
      </c>
      <c r="D28" s="7" t="s">
        <v>112</v>
      </c>
      <c r="E28" s="3" t="s">
        <v>75</v>
      </c>
      <c r="F28" s="11" t="s">
        <v>79</v>
      </c>
      <c r="G28" s="3" t="s">
        <v>366</v>
      </c>
      <c r="H28" s="3" t="s">
        <v>112</v>
      </c>
      <c r="I28" s="3" t="s">
        <v>112</v>
      </c>
      <c r="J28" s="3"/>
      <c r="K28" s="1"/>
      <c r="L28" s="1"/>
      <c r="M28" s="1"/>
      <c r="N28" s="1"/>
      <c r="O28" s="1"/>
      <c r="P28" s="1"/>
      <c r="Q28" s="1"/>
      <c r="R28" s="1"/>
      <c r="S28" s="1"/>
      <c r="T28" s="1"/>
      <c r="U28" s="1"/>
      <c r="V28" s="1"/>
      <c r="W28" s="1"/>
      <c r="X28" s="1"/>
      <c r="Y28" s="1"/>
      <c r="Z28" s="1"/>
    </row>
    <row r="29" spans="1:26">
      <c r="A29" s="3" t="s">
        <v>65</v>
      </c>
      <c r="B29" s="3" t="s">
        <v>316</v>
      </c>
      <c r="C29" s="3" t="s">
        <v>368</v>
      </c>
      <c r="D29" s="7">
        <v>7825</v>
      </c>
      <c r="E29" s="3" t="s">
        <v>75</v>
      </c>
      <c r="F29" s="11" t="s">
        <v>79</v>
      </c>
      <c r="G29" s="3" t="s">
        <v>366</v>
      </c>
      <c r="H29" s="3" t="s">
        <v>112</v>
      </c>
      <c r="I29" s="3" t="s">
        <v>112</v>
      </c>
      <c r="J29" s="3"/>
      <c r="K29" s="1"/>
      <c r="L29" s="1"/>
      <c r="M29" s="1"/>
      <c r="N29" s="1"/>
      <c r="O29" s="1"/>
      <c r="P29" s="1"/>
      <c r="Q29" s="1"/>
      <c r="R29" s="1"/>
      <c r="S29" s="1"/>
      <c r="T29" s="1"/>
      <c r="U29" s="1"/>
      <c r="V29" s="1"/>
      <c r="W29" s="1"/>
      <c r="X29" s="1"/>
      <c r="Y29" s="1"/>
      <c r="Z29" s="1"/>
    </row>
    <row r="30" spans="1:26">
      <c r="A30" s="3" t="s">
        <v>66</v>
      </c>
      <c r="B30" s="3" t="s">
        <v>316</v>
      </c>
      <c r="C30" s="3" t="s">
        <v>365</v>
      </c>
      <c r="D30" s="7">
        <v>157094</v>
      </c>
      <c r="E30" s="3" t="s">
        <v>75</v>
      </c>
      <c r="F30" s="11" t="s">
        <v>80</v>
      </c>
      <c r="G30" s="3" t="s">
        <v>366</v>
      </c>
      <c r="H30" s="3" t="s">
        <v>112</v>
      </c>
      <c r="I30" s="3" t="s">
        <v>112</v>
      </c>
      <c r="J30" s="3"/>
      <c r="K30" s="1"/>
      <c r="L30" s="1"/>
      <c r="M30" s="1"/>
      <c r="N30" s="1"/>
      <c r="O30" s="1"/>
      <c r="P30" s="1"/>
      <c r="Q30" s="1"/>
      <c r="R30" s="1"/>
      <c r="S30" s="1"/>
      <c r="T30" s="1"/>
      <c r="U30" s="1"/>
      <c r="V30" s="1"/>
      <c r="W30" s="1"/>
      <c r="X30" s="1"/>
      <c r="Y30" s="1"/>
      <c r="Z30" s="1"/>
    </row>
    <row r="31" spans="1:26">
      <c r="A31" s="3" t="s">
        <v>66</v>
      </c>
      <c r="B31" s="3" t="s">
        <v>316</v>
      </c>
      <c r="C31" s="3" t="s">
        <v>367</v>
      </c>
      <c r="D31" s="7">
        <v>440861</v>
      </c>
      <c r="E31" s="3" t="s">
        <v>75</v>
      </c>
      <c r="F31" s="11" t="s">
        <v>80</v>
      </c>
      <c r="G31" s="3" t="s">
        <v>366</v>
      </c>
      <c r="H31" s="3" t="s">
        <v>112</v>
      </c>
      <c r="I31" s="3" t="s">
        <v>112</v>
      </c>
      <c r="J31" s="3"/>
      <c r="K31" s="1"/>
      <c r="L31" s="1"/>
      <c r="M31" s="1"/>
      <c r="N31" s="1"/>
      <c r="O31" s="1"/>
      <c r="P31" s="1"/>
      <c r="Q31" s="1"/>
      <c r="R31" s="1"/>
      <c r="S31" s="1"/>
      <c r="T31" s="1"/>
      <c r="U31" s="1"/>
      <c r="V31" s="1"/>
      <c r="W31" s="1"/>
      <c r="X31" s="1"/>
      <c r="Y31" s="1"/>
      <c r="Z31" s="1"/>
    </row>
    <row r="32" spans="1:26">
      <c r="A32" s="3" t="s">
        <v>66</v>
      </c>
      <c r="B32" s="3" t="s">
        <v>316</v>
      </c>
      <c r="C32" s="3" t="s">
        <v>158</v>
      </c>
      <c r="D32" s="7">
        <v>39143</v>
      </c>
      <c r="E32" s="3" t="s">
        <v>75</v>
      </c>
      <c r="F32" s="11" t="s">
        <v>80</v>
      </c>
      <c r="G32" s="3" t="s">
        <v>366</v>
      </c>
      <c r="H32" s="3" t="s">
        <v>112</v>
      </c>
      <c r="I32" s="3" t="s">
        <v>112</v>
      </c>
      <c r="J32" s="3"/>
      <c r="K32" s="1"/>
      <c r="L32" s="1"/>
      <c r="M32" s="1"/>
      <c r="N32" s="1"/>
      <c r="O32" s="1"/>
      <c r="P32" s="1"/>
      <c r="Q32" s="1"/>
      <c r="R32" s="1"/>
      <c r="S32" s="1"/>
      <c r="T32" s="1"/>
      <c r="U32" s="1"/>
      <c r="V32" s="1"/>
      <c r="W32" s="1"/>
      <c r="X32" s="1"/>
      <c r="Y32" s="1"/>
      <c r="Z32" s="1"/>
    </row>
    <row r="33" spans="1:26">
      <c r="A33" s="3" t="s">
        <v>66</v>
      </c>
      <c r="B33" s="3" t="s">
        <v>316</v>
      </c>
      <c r="C33" s="3" t="s">
        <v>161</v>
      </c>
      <c r="D33" s="7">
        <v>122219</v>
      </c>
      <c r="E33" s="3" t="s">
        <v>75</v>
      </c>
      <c r="F33" s="11" t="s">
        <v>80</v>
      </c>
      <c r="G33" s="3" t="s">
        <v>366</v>
      </c>
      <c r="H33" s="3" t="s">
        <v>112</v>
      </c>
      <c r="I33" s="3" t="s">
        <v>112</v>
      </c>
      <c r="J33" s="3"/>
      <c r="K33" s="1"/>
      <c r="L33" s="1"/>
      <c r="M33" s="1"/>
      <c r="N33" s="1"/>
      <c r="O33" s="1"/>
      <c r="P33" s="1"/>
      <c r="Q33" s="1"/>
      <c r="R33" s="1"/>
      <c r="S33" s="1"/>
      <c r="T33" s="1"/>
      <c r="U33" s="1"/>
      <c r="V33" s="1"/>
      <c r="W33" s="1"/>
      <c r="X33" s="1"/>
      <c r="Y33" s="1"/>
      <c r="Z33" s="1"/>
    </row>
    <row r="34" spans="1:26">
      <c r="A34" s="3" t="s">
        <v>66</v>
      </c>
      <c r="B34" s="3" t="s">
        <v>316</v>
      </c>
      <c r="C34" s="3" t="s">
        <v>368</v>
      </c>
      <c r="D34" s="7">
        <v>17117</v>
      </c>
      <c r="E34" s="3" t="s">
        <v>75</v>
      </c>
      <c r="F34" s="11" t="s">
        <v>80</v>
      </c>
      <c r="G34" s="3" t="s">
        <v>366</v>
      </c>
      <c r="H34" s="3" t="s">
        <v>112</v>
      </c>
      <c r="I34" s="3" t="s">
        <v>112</v>
      </c>
      <c r="J34" s="3"/>
      <c r="K34" s="1"/>
      <c r="L34" s="1"/>
      <c r="M34" s="1"/>
      <c r="N34" s="1"/>
      <c r="O34" s="1"/>
      <c r="P34" s="1"/>
      <c r="Q34" s="1"/>
      <c r="R34" s="1"/>
      <c r="S34" s="1"/>
      <c r="T34" s="1"/>
      <c r="U34" s="1"/>
      <c r="V34" s="1"/>
      <c r="W34" s="1"/>
      <c r="X34" s="1"/>
      <c r="Y34" s="1"/>
      <c r="Z34" s="1"/>
    </row>
    <row r="35" spans="1:26">
      <c r="A35" s="3" t="s">
        <v>67</v>
      </c>
      <c r="B35" s="3" t="s">
        <v>316</v>
      </c>
      <c r="C35" s="3" t="s">
        <v>365</v>
      </c>
      <c r="D35" s="7">
        <v>105748</v>
      </c>
      <c r="E35" s="3" t="s">
        <v>75</v>
      </c>
      <c r="F35" s="11" t="s">
        <v>81</v>
      </c>
      <c r="G35" s="3" t="s">
        <v>366</v>
      </c>
      <c r="H35" s="3" t="s">
        <v>112</v>
      </c>
      <c r="I35" s="3" t="s">
        <v>112</v>
      </c>
      <c r="J35" s="3"/>
      <c r="K35" s="1"/>
      <c r="L35" s="1"/>
      <c r="M35" s="1"/>
      <c r="N35" s="1"/>
      <c r="O35" s="1"/>
      <c r="P35" s="1"/>
      <c r="Q35" s="1"/>
      <c r="R35" s="1"/>
      <c r="S35" s="1"/>
      <c r="T35" s="1"/>
      <c r="U35" s="1"/>
      <c r="V35" s="1"/>
      <c r="W35" s="1"/>
      <c r="X35" s="1"/>
      <c r="Y35" s="1"/>
      <c r="Z35" s="1"/>
    </row>
    <row r="36" spans="1:26">
      <c r="A36" s="3" t="s">
        <v>67</v>
      </c>
      <c r="B36" s="3" t="s">
        <v>316</v>
      </c>
      <c r="C36" s="3" t="s">
        <v>367</v>
      </c>
      <c r="D36" s="7">
        <v>473154</v>
      </c>
      <c r="E36" s="3" t="s">
        <v>75</v>
      </c>
      <c r="F36" s="11" t="s">
        <v>81</v>
      </c>
      <c r="G36" s="3" t="s">
        <v>366</v>
      </c>
      <c r="H36" s="3" t="s">
        <v>112</v>
      </c>
      <c r="I36" s="3" t="s">
        <v>112</v>
      </c>
      <c r="J36" s="3"/>
      <c r="K36" s="1"/>
      <c r="L36" s="1"/>
      <c r="M36" s="1"/>
      <c r="N36" s="1"/>
      <c r="O36" s="1"/>
      <c r="P36" s="1"/>
      <c r="Q36" s="1"/>
      <c r="R36" s="1"/>
      <c r="S36" s="1"/>
      <c r="T36" s="1"/>
      <c r="U36" s="1"/>
      <c r="V36" s="1"/>
      <c r="W36" s="1"/>
      <c r="X36" s="1"/>
      <c r="Y36" s="1"/>
      <c r="Z36" s="1"/>
    </row>
    <row r="37" spans="1:26">
      <c r="A37" s="3" t="s">
        <v>67</v>
      </c>
      <c r="B37" s="3" t="s">
        <v>316</v>
      </c>
      <c r="C37" s="3" t="s">
        <v>158</v>
      </c>
      <c r="D37" s="7">
        <v>41439</v>
      </c>
      <c r="E37" s="3" t="s">
        <v>75</v>
      </c>
      <c r="F37" s="11" t="s">
        <v>81</v>
      </c>
      <c r="G37" s="3" t="s">
        <v>366</v>
      </c>
      <c r="H37" s="3" t="s">
        <v>112</v>
      </c>
      <c r="I37" s="3" t="s">
        <v>112</v>
      </c>
      <c r="J37" s="3"/>
      <c r="K37" s="1"/>
      <c r="L37" s="1"/>
      <c r="M37" s="1"/>
      <c r="N37" s="1"/>
      <c r="O37" s="1"/>
      <c r="P37" s="1"/>
      <c r="Q37" s="1"/>
      <c r="R37" s="1"/>
      <c r="S37" s="1"/>
      <c r="T37" s="1"/>
      <c r="U37" s="1"/>
      <c r="V37" s="1"/>
      <c r="W37" s="1"/>
      <c r="X37" s="1"/>
      <c r="Y37" s="1"/>
      <c r="Z37" s="1"/>
    </row>
    <row r="38" spans="1:26">
      <c r="A38" s="3" t="s">
        <v>67</v>
      </c>
      <c r="B38" s="3" t="s">
        <v>316</v>
      </c>
      <c r="C38" s="3" t="s">
        <v>161</v>
      </c>
      <c r="D38" s="7">
        <v>117866</v>
      </c>
      <c r="E38" s="3" t="s">
        <v>75</v>
      </c>
      <c r="F38" s="11" t="s">
        <v>81</v>
      </c>
      <c r="G38" s="3" t="s">
        <v>366</v>
      </c>
      <c r="H38" s="3" t="s">
        <v>112</v>
      </c>
      <c r="I38" s="3" t="s">
        <v>112</v>
      </c>
      <c r="J38" s="3"/>
      <c r="K38" s="1"/>
      <c r="L38" s="1"/>
      <c r="M38" s="1"/>
      <c r="N38" s="1"/>
      <c r="O38" s="1"/>
      <c r="P38" s="1"/>
      <c r="Q38" s="1"/>
      <c r="R38" s="1"/>
      <c r="S38" s="1"/>
      <c r="T38" s="1"/>
      <c r="U38" s="1"/>
      <c r="V38" s="1"/>
      <c r="W38" s="1"/>
      <c r="X38" s="1"/>
      <c r="Y38" s="1"/>
      <c r="Z38" s="1"/>
    </row>
    <row r="39" spans="1:26">
      <c r="A39" s="3" t="s">
        <v>67</v>
      </c>
      <c r="B39" s="3" t="s">
        <v>316</v>
      </c>
      <c r="C39" s="3" t="s">
        <v>368</v>
      </c>
      <c r="D39" s="7">
        <v>9083</v>
      </c>
      <c r="E39" s="3" t="s">
        <v>75</v>
      </c>
      <c r="F39" s="11" t="s">
        <v>81</v>
      </c>
      <c r="G39" s="3" t="s">
        <v>366</v>
      </c>
      <c r="H39" s="3" t="s">
        <v>112</v>
      </c>
      <c r="I39" s="3" t="s">
        <v>112</v>
      </c>
      <c r="J39" s="3"/>
      <c r="K39" s="1"/>
      <c r="L39" s="1"/>
      <c r="M39" s="1"/>
      <c r="N39" s="1"/>
      <c r="O39" s="1"/>
      <c r="P39" s="1"/>
      <c r="Q39" s="1"/>
      <c r="R39" s="1"/>
      <c r="S39" s="1"/>
      <c r="T39" s="1"/>
      <c r="U39" s="1"/>
      <c r="V39" s="1"/>
      <c r="W39" s="1"/>
      <c r="X39" s="1"/>
      <c r="Y39" s="1"/>
      <c r="Z39" s="1"/>
    </row>
    <row r="40" spans="1:26">
      <c r="A40" s="3" t="s">
        <v>68</v>
      </c>
      <c r="B40" s="3" t="s">
        <v>316</v>
      </c>
      <c r="C40" s="3" t="s">
        <v>365</v>
      </c>
      <c r="D40" s="7">
        <v>102829</v>
      </c>
      <c r="E40" s="3" t="s">
        <v>75</v>
      </c>
      <c r="F40" s="11" t="s">
        <v>82</v>
      </c>
      <c r="G40" s="3" t="s">
        <v>366</v>
      </c>
      <c r="H40" s="3" t="s">
        <v>112</v>
      </c>
      <c r="I40" s="3" t="s">
        <v>112</v>
      </c>
      <c r="J40" s="3"/>
      <c r="K40" s="1"/>
      <c r="L40" s="1"/>
      <c r="M40" s="1"/>
      <c r="N40" s="1"/>
      <c r="O40" s="1"/>
      <c r="P40" s="1"/>
      <c r="Q40" s="1"/>
      <c r="R40" s="1"/>
      <c r="S40" s="1"/>
      <c r="T40" s="1"/>
      <c r="U40" s="1"/>
      <c r="V40" s="1"/>
      <c r="W40" s="1"/>
      <c r="X40" s="1"/>
      <c r="Y40" s="1"/>
      <c r="Z40" s="1"/>
    </row>
    <row r="41" spans="1:26">
      <c r="A41" s="3" t="s">
        <v>68</v>
      </c>
      <c r="B41" s="3" t="s">
        <v>316</v>
      </c>
      <c r="C41" s="3" t="s">
        <v>367</v>
      </c>
      <c r="D41" s="7">
        <v>393651</v>
      </c>
      <c r="E41" s="3" t="s">
        <v>75</v>
      </c>
      <c r="F41" s="11" t="s">
        <v>82</v>
      </c>
      <c r="G41" s="3" t="s">
        <v>366</v>
      </c>
      <c r="H41" s="3" t="s">
        <v>112</v>
      </c>
      <c r="I41" s="3" t="s">
        <v>112</v>
      </c>
      <c r="J41" s="3"/>
      <c r="K41" s="1"/>
      <c r="L41" s="1"/>
      <c r="M41" s="1"/>
      <c r="N41" s="1"/>
      <c r="O41" s="1"/>
      <c r="P41" s="1"/>
      <c r="Q41" s="1"/>
      <c r="R41" s="1"/>
      <c r="S41" s="1"/>
      <c r="T41" s="1"/>
      <c r="U41" s="1"/>
      <c r="V41" s="1"/>
      <c r="W41" s="1"/>
      <c r="X41" s="1"/>
      <c r="Y41" s="1"/>
      <c r="Z41" s="1"/>
    </row>
    <row r="42" spans="1:26">
      <c r="A42" s="3" t="s">
        <v>68</v>
      </c>
      <c r="B42" s="3" t="s">
        <v>316</v>
      </c>
      <c r="C42" s="3" t="s">
        <v>158</v>
      </c>
      <c r="D42" s="7">
        <v>42560</v>
      </c>
      <c r="E42" s="3" t="s">
        <v>75</v>
      </c>
      <c r="F42" s="11" t="s">
        <v>82</v>
      </c>
      <c r="G42" s="3" t="s">
        <v>366</v>
      </c>
      <c r="H42" s="3" t="s">
        <v>112</v>
      </c>
      <c r="I42" s="3" t="s">
        <v>112</v>
      </c>
      <c r="J42" s="3"/>
      <c r="K42" s="1"/>
      <c r="L42" s="1"/>
      <c r="M42" s="1"/>
      <c r="N42" s="1"/>
      <c r="O42" s="1"/>
      <c r="P42" s="1"/>
      <c r="Q42" s="1"/>
      <c r="R42" s="1"/>
      <c r="S42" s="1"/>
      <c r="T42" s="1"/>
      <c r="U42" s="1"/>
      <c r="V42" s="1"/>
      <c r="W42" s="1"/>
      <c r="X42" s="1"/>
      <c r="Y42" s="1"/>
      <c r="Z42" s="1"/>
    </row>
    <row r="43" spans="1:26">
      <c r="A43" s="3" t="s">
        <v>68</v>
      </c>
      <c r="B43" s="3" t="s">
        <v>316</v>
      </c>
      <c r="C43" s="3" t="s">
        <v>161</v>
      </c>
      <c r="D43" s="7">
        <v>124004</v>
      </c>
      <c r="E43" s="3" t="s">
        <v>75</v>
      </c>
      <c r="F43" s="11" t="s">
        <v>82</v>
      </c>
      <c r="G43" s="3" t="s">
        <v>366</v>
      </c>
      <c r="H43" s="3" t="s">
        <v>112</v>
      </c>
      <c r="I43" s="3" t="s">
        <v>112</v>
      </c>
      <c r="J43" s="3"/>
      <c r="K43" s="1"/>
      <c r="L43" s="1"/>
      <c r="M43" s="1"/>
      <c r="N43" s="1"/>
      <c r="O43" s="1"/>
      <c r="P43" s="1"/>
      <c r="Q43" s="1"/>
      <c r="R43" s="1"/>
      <c r="S43" s="1"/>
      <c r="T43" s="1"/>
      <c r="U43" s="1"/>
      <c r="V43" s="1"/>
      <c r="W43" s="1"/>
      <c r="X43" s="1"/>
      <c r="Y43" s="1"/>
      <c r="Z43" s="1"/>
    </row>
    <row r="44" spans="1:26">
      <c r="A44" s="3" t="s">
        <v>68</v>
      </c>
      <c r="B44" s="3" t="s">
        <v>316</v>
      </c>
      <c r="C44" s="3" t="s">
        <v>368</v>
      </c>
      <c r="D44" s="7">
        <v>6201</v>
      </c>
      <c r="E44" s="3" t="s">
        <v>75</v>
      </c>
      <c r="F44" s="11" t="s">
        <v>82</v>
      </c>
      <c r="G44" s="3" t="s">
        <v>366</v>
      </c>
      <c r="H44" s="3" t="s">
        <v>112</v>
      </c>
      <c r="I44" s="3" t="s">
        <v>112</v>
      </c>
      <c r="J44" s="3"/>
      <c r="K44" s="1"/>
      <c r="L44" s="1"/>
      <c r="M44" s="1"/>
      <c r="N44" s="1"/>
      <c r="O44" s="1"/>
      <c r="P44" s="1"/>
      <c r="Q44" s="1"/>
      <c r="R44" s="1"/>
      <c r="S44" s="1"/>
      <c r="T44" s="1"/>
      <c r="U44" s="1"/>
      <c r="V44" s="1"/>
      <c r="W44" s="1"/>
      <c r="X44" s="1"/>
      <c r="Y44" s="1"/>
      <c r="Z44" s="1"/>
    </row>
    <row r="45" spans="1:26">
      <c r="A45" s="3" t="s">
        <v>69</v>
      </c>
      <c r="B45" s="3" t="s">
        <v>316</v>
      </c>
      <c r="C45" s="3" t="s">
        <v>365</v>
      </c>
      <c r="D45" s="7">
        <v>278843</v>
      </c>
      <c r="E45" s="3" t="s">
        <v>75</v>
      </c>
      <c r="F45" s="11" t="s">
        <v>83</v>
      </c>
      <c r="G45" s="3" t="s">
        <v>366</v>
      </c>
      <c r="H45" s="3" t="s">
        <v>112</v>
      </c>
      <c r="I45" s="3" t="s">
        <v>112</v>
      </c>
      <c r="J45" s="3"/>
      <c r="K45" s="1"/>
      <c r="L45" s="1"/>
      <c r="M45" s="1"/>
      <c r="N45" s="1"/>
      <c r="O45" s="1"/>
      <c r="P45" s="1"/>
      <c r="Q45" s="1"/>
      <c r="R45" s="1"/>
      <c r="S45" s="1"/>
      <c r="T45" s="1"/>
      <c r="U45" s="1"/>
      <c r="V45" s="1"/>
      <c r="W45" s="1"/>
      <c r="X45" s="1"/>
      <c r="Y45" s="1"/>
      <c r="Z45" s="1"/>
    </row>
    <row r="46" spans="1:26">
      <c r="A46" s="3" t="s">
        <v>69</v>
      </c>
      <c r="B46" s="3" t="s">
        <v>316</v>
      </c>
      <c r="C46" s="3" t="s">
        <v>367</v>
      </c>
      <c r="D46" s="7">
        <v>1453018</v>
      </c>
      <c r="E46" s="3" t="s">
        <v>75</v>
      </c>
      <c r="F46" s="11" t="s">
        <v>83</v>
      </c>
      <c r="G46" s="3" t="s">
        <v>366</v>
      </c>
      <c r="H46" s="3" t="s">
        <v>112</v>
      </c>
      <c r="I46" s="3" t="s">
        <v>112</v>
      </c>
      <c r="J46" s="3"/>
      <c r="K46" s="1"/>
      <c r="L46" s="1"/>
      <c r="M46" s="1"/>
      <c r="N46" s="1"/>
      <c r="O46" s="1"/>
      <c r="P46" s="1"/>
      <c r="Q46" s="1"/>
      <c r="R46" s="1"/>
      <c r="S46" s="1"/>
      <c r="T46" s="1"/>
      <c r="U46" s="1"/>
      <c r="V46" s="1"/>
      <c r="W46" s="1"/>
      <c r="X46" s="1"/>
      <c r="Y46" s="1"/>
      <c r="Z46" s="1"/>
    </row>
    <row r="47" spans="1:26">
      <c r="A47" s="3" t="s">
        <v>69</v>
      </c>
      <c r="B47" s="3" t="s">
        <v>316</v>
      </c>
      <c r="C47" s="3" t="s">
        <v>158</v>
      </c>
      <c r="D47" s="7">
        <v>64280</v>
      </c>
      <c r="E47" s="3" t="s">
        <v>75</v>
      </c>
      <c r="F47" s="11" t="s">
        <v>83</v>
      </c>
      <c r="G47" s="3" t="s">
        <v>366</v>
      </c>
      <c r="H47" s="3" t="s">
        <v>112</v>
      </c>
      <c r="I47" s="3" t="s">
        <v>112</v>
      </c>
      <c r="J47" s="3"/>
      <c r="K47" s="1"/>
      <c r="L47" s="1"/>
      <c r="M47" s="1"/>
      <c r="N47" s="1"/>
      <c r="O47" s="1"/>
      <c r="P47" s="1"/>
      <c r="Q47" s="1"/>
      <c r="R47" s="1"/>
      <c r="S47" s="1"/>
      <c r="T47" s="1"/>
      <c r="U47" s="1"/>
      <c r="V47" s="1"/>
      <c r="W47" s="1"/>
      <c r="X47" s="1"/>
      <c r="Y47" s="1"/>
      <c r="Z47" s="1"/>
    </row>
    <row r="48" spans="1:26">
      <c r="A48" s="3" t="s">
        <v>69</v>
      </c>
      <c r="B48" s="3" t="s">
        <v>316</v>
      </c>
      <c r="C48" s="3" t="s">
        <v>161</v>
      </c>
      <c r="D48" s="7">
        <v>204640</v>
      </c>
      <c r="E48" s="3" t="s">
        <v>75</v>
      </c>
      <c r="F48" s="11" t="s">
        <v>83</v>
      </c>
      <c r="G48" s="3" t="s">
        <v>366</v>
      </c>
      <c r="H48" s="3" t="s">
        <v>112</v>
      </c>
      <c r="I48" s="3" t="s">
        <v>112</v>
      </c>
      <c r="J48" s="3"/>
      <c r="K48" s="1"/>
      <c r="L48" s="1"/>
      <c r="M48" s="1"/>
      <c r="N48" s="1"/>
      <c r="O48" s="1"/>
      <c r="P48" s="1"/>
      <c r="Q48" s="1"/>
      <c r="R48" s="1"/>
      <c r="S48" s="1"/>
      <c r="T48" s="1"/>
      <c r="U48" s="1"/>
      <c r="V48" s="1"/>
      <c r="W48" s="1"/>
      <c r="X48" s="1"/>
      <c r="Y48" s="1"/>
      <c r="Z48" s="1"/>
    </row>
    <row r="49" spans="1:26">
      <c r="A49" s="3" t="s">
        <v>69</v>
      </c>
      <c r="B49" s="3" t="s">
        <v>316</v>
      </c>
      <c r="C49" s="3" t="s">
        <v>368</v>
      </c>
      <c r="D49" s="7">
        <v>33102</v>
      </c>
      <c r="E49" s="3" t="s">
        <v>75</v>
      </c>
      <c r="F49" s="11" t="s">
        <v>83</v>
      </c>
      <c r="G49" s="3" t="s">
        <v>366</v>
      </c>
      <c r="H49" s="3" t="s">
        <v>112</v>
      </c>
      <c r="I49" s="3" t="s">
        <v>112</v>
      </c>
      <c r="J49" s="3"/>
      <c r="K49" s="1"/>
      <c r="L49" s="1"/>
      <c r="M49" s="1"/>
      <c r="N49" s="1"/>
      <c r="O49" s="1"/>
      <c r="P49" s="1"/>
      <c r="Q49" s="1"/>
      <c r="R49" s="1"/>
      <c r="S49" s="1"/>
      <c r="T49" s="1"/>
      <c r="U49" s="1"/>
      <c r="V49" s="1"/>
      <c r="W49" s="1"/>
      <c r="X49" s="1"/>
      <c r="Y49" s="1"/>
      <c r="Z49" s="1"/>
    </row>
    <row r="50" spans="1:26">
      <c r="A50" s="3" t="s">
        <v>70</v>
      </c>
      <c r="B50" s="3" t="s">
        <v>316</v>
      </c>
      <c r="C50" s="3" t="s">
        <v>365</v>
      </c>
      <c r="D50" s="7">
        <v>755830</v>
      </c>
      <c r="E50" s="3" t="s">
        <v>75</v>
      </c>
      <c r="F50" s="11" t="s">
        <v>84</v>
      </c>
      <c r="G50" s="3" t="s">
        <v>366</v>
      </c>
      <c r="H50" s="3" t="s">
        <v>112</v>
      </c>
      <c r="I50" s="3" t="s">
        <v>112</v>
      </c>
      <c r="J50" s="3"/>
      <c r="K50" s="1"/>
      <c r="L50" s="1"/>
      <c r="M50" s="1"/>
      <c r="N50" s="1"/>
      <c r="O50" s="1"/>
      <c r="P50" s="1"/>
      <c r="Q50" s="1"/>
      <c r="R50" s="1"/>
      <c r="S50" s="1"/>
      <c r="T50" s="1"/>
      <c r="U50" s="1"/>
      <c r="V50" s="1"/>
      <c r="W50" s="1"/>
      <c r="X50" s="1"/>
      <c r="Y50" s="1"/>
      <c r="Z50" s="1"/>
    </row>
    <row r="51" spans="1:26">
      <c r="A51" s="3" t="s">
        <v>70</v>
      </c>
      <c r="B51" s="3" t="s">
        <v>316</v>
      </c>
      <c r="C51" s="3" t="s">
        <v>367</v>
      </c>
      <c r="D51" s="7">
        <v>1419483</v>
      </c>
      <c r="E51" s="3" t="s">
        <v>75</v>
      </c>
      <c r="F51" s="11" t="s">
        <v>84</v>
      </c>
      <c r="G51" s="3" t="s">
        <v>366</v>
      </c>
      <c r="H51" s="3" t="s">
        <v>112</v>
      </c>
      <c r="I51" s="3" t="s">
        <v>112</v>
      </c>
      <c r="J51" s="3"/>
      <c r="K51" s="1"/>
      <c r="L51" s="1"/>
      <c r="M51" s="1"/>
      <c r="N51" s="1"/>
      <c r="O51" s="1"/>
      <c r="P51" s="1"/>
      <c r="Q51" s="1"/>
      <c r="R51" s="1"/>
      <c r="S51" s="1"/>
      <c r="T51" s="1"/>
      <c r="U51" s="1"/>
      <c r="V51" s="1"/>
      <c r="W51" s="1"/>
      <c r="X51" s="1"/>
      <c r="Y51" s="1"/>
      <c r="Z51" s="1"/>
    </row>
    <row r="52" spans="1:26">
      <c r="A52" s="3" t="s">
        <v>70</v>
      </c>
      <c r="B52" s="3" t="s">
        <v>316</v>
      </c>
      <c r="C52" s="3" t="s">
        <v>158</v>
      </c>
      <c r="D52" s="7">
        <v>70096</v>
      </c>
      <c r="E52" s="3" t="s">
        <v>75</v>
      </c>
      <c r="F52" s="11" t="s">
        <v>84</v>
      </c>
      <c r="G52" s="3" t="s">
        <v>366</v>
      </c>
      <c r="H52" s="3" t="s">
        <v>112</v>
      </c>
      <c r="I52" s="3" t="s">
        <v>112</v>
      </c>
      <c r="J52" s="3"/>
      <c r="K52" s="1"/>
      <c r="L52" s="1"/>
      <c r="M52" s="1"/>
      <c r="N52" s="1"/>
      <c r="O52" s="1"/>
      <c r="P52" s="1"/>
      <c r="Q52" s="1"/>
      <c r="R52" s="1"/>
      <c r="S52" s="1"/>
      <c r="T52" s="1"/>
      <c r="U52" s="1"/>
      <c r="V52" s="1"/>
      <c r="W52" s="1"/>
      <c r="X52" s="1"/>
      <c r="Y52" s="1"/>
      <c r="Z52" s="1"/>
    </row>
    <row r="53" spans="1:26">
      <c r="A53" s="3" t="s">
        <v>70</v>
      </c>
      <c r="B53" s="3" t="s">
        <v>316</v>
      </c>
      <c r="C53" s="3" t="s">
        <v>161</v>
      </c>
      <c r="D53" s="7">
        <v>206105</v>
      </c>
      <c r="E53" s="3" t="s">
        <v>75</v>
      </c>
      <c r="F53" s="11" t="s">
        <v>84</v>
      </c>
      <c r="G53" s="3" t="s">
        <v>366</v>
      </c>
      <c r="H53" s="3" t="s">
        <v>112</v>
      </c>
      <c r="I53" s="3" t="s">
        <v>112</v>
      </c>
      <c r="J53" s="3"/>
      <c r="K53" s="1"/>
      <c r="L53" s="1"/>
      <c r="M53" s="1"/>
      <c r="N53" s="1"/>
      <c r="O53" s="1"/>
      <c r="P53" s="1"/>
      <c r="Q53" s="1"/>
      <c r="R53" s="1"/>
      <c r="S53" s="1"/>
      <c r="T53" s="1"/>
      <c r="U53" s="1"/>
      <c r="V53" s="1"/>
      <c r="W53" s="1"/>
      <c r="X53" s="1"/>
      <c r="Y53" s="1"/>
      <c r="Z53" s="1"/>
    </row>
    <row r="54" spans="1:26">
      <c r="A54" s="3" t="s">
        <v>70</v>
      </c>
      <c r="B54" s="3" t="s">
        <v>316</v>
      </c>
      <c r="C54" s="3" t="s">
        <v>368</v>
      </c>
      <c r="D54" s="7">
        <v>88100</v>
      </c>
      <c r="E54" s="3" t="s">
        <v>75</v>
      </c>
      <c r="F54" s="11" t="s">
        <v>84</v>
      </c>
      <c r="G54" s="3" t="s">
        <v>366</v>
      </c>
      <c r="H54" s="3" t="s">
        <v>112</v>
      </c>
      <c r="I54" s="3" t="s">
        <v>112</v>
      </c>
      <c r="J54" s="3"/>
      <c r="K54" s="1"/>
      <c r="L54" s="1"/>
      <c r="M54" s="1"/>
      <c r="N54" s="1"/>
      <c r="O54" s="1"/>
      <c r="P54" s="1"/>
      <c r="Q54" s="1"/>
      <c r="R54" s="1"/>
      <c r="S54" s="1"/>
      <c r="T54" s="1"/>
      <c r="U54" s="1"/>
      <c r="V54" s="1"/>
      <c r="W54" s="1"/>
      <c r="X54" s="1"/>
      <c r="Y54" s="1"/>
      <c r="Z54" s="1"/>
    </row>
    <row r="55" spans="1:26">
      <c r="A55" s="3" t="s">
        <v>71</v>
      </c>
      <c r="B55" s="3" t="s">
        <v>316</v>
      </c>
      <c r="C55" s="3" t="s">
        <v>365</v>
      </c>
      <c r="D55" s="7">
        <v>969666</v>
      </c>
      <c r="E55" s="3" t="s">
        <v>75</v>
      </c>
      <c r="F55" s="11" t="s">
        <v>85</v>
      </c>
      <c r="G55" s="3" t="s">
        <v>366</v>
      </c>
      <c r="H55" s="3" t="s">
        <v>112</v>
      </c>
      <c r="I55" s="3" t="s">
        <v>112</v>
      </c>
      <c r="J55" s="3"/>
      <c r="K55" s="1"/>
      <c r="L55" s="1"/>
      <c r="M55" s="1"/>
      <c r="N55" s="1"/>
      <c r="O55" s="1"/>
      <c r="P55" s="1"/>
      <c r="Q55" s="1"/>
      <c r="R55" s="1"/>
      <c r="S55" s="1"/>
      <c r="T55" s="1"/>
      <c r="U55" s="1"/>
      <c r="V55" s="1"/>
      <c r="W55" s="1"/>
      <c r="X55" s="1"/>
      <c r="Y55" s="1"/>
      <c r="Z55" s="1"/>
    </row>
    <row r="56" spans="1:26">
      <c r="A56" s="3" t="s">
        <v>71</v>
      </c>
      <c r="B56" s="3" t="s">
        <v>316</v>
      </c>
      <c r="C56" s="3" t="s">
        <v>367</v>
      </c>
      <c r="D56" s="7">
        <v>1629411</v>
      </c>
      <c r="E56" s="3" t="s">
        <v>75</v>
      </c>
      <c r="F56" s="11" t="s">
        <v>85</v>
      </c>
      <c r="G56" s="3" t="s">
        <v>366</v>
      </c>
      <c r="H56" s="3" t="s">
        <v>112</v>
      </c>
      <c r="I56" s="3" t="s">
        <v>112</v>
      </c>
      <c r="J56" s="3"/>
      <c r="K56" s="1"/>
      <c r="L56" s="1"/>
      <c r="M56" s="1"/>
      <c r="N56" s="1"/>
      <c r="O56" s="1"/>
      <c r="P56" s="1"/>
      <c r="Q56" s="1"/>
      <c r="R56" s="1"/>
      <c r="S56" s="1"/>
      <c r="T56" s="1"/>
      <c r="U56" s="1"/>
      <c r="V56" s="1"/>
      <c r="W56" s="1"/>
      <c r="X56" s="1"/>
      <c r="Y56" s="1"/>
      <c r="Z56" s="1"/>
    </row>
    <row r="57" spans="1:26">
      <c r="A57" s="3" t="s">
        <v>71</v>
      </c>
      <c r="B57" s="3" t="s">
        <v>316</v>
      </c>
      <c r="C57" s="3" t="s">
        <v>158</v>
      </c>
      <c r="D57" s="7">
        <v>70418</v>
      </c>
      <c r="E57" s="3" t="s">
        <v>75</v>
      </c>
      <c r="F57" s="11" t="s">
        <v>85</v>
      </c>
      <c r="G57" s="3" t="s">
        <v>366</v>
      </c>
      <c r="H57" s="3" t="s">
        <v>112</v>
      </c>
      <c r="I57" s="3" t="s">
        <v>112</v>
      </c>
      <c r="J57" s="3"/>
      <c r="K57" s="1"/>
      <c r="L57" s="1"/>
      <c r="M57" s="1"/>
      <c r="N57" s="1"/>
      <c r="O57" s="1"/>
      <c r="P57" s="1"/>
      <c r="Q57" s="1"/>
      <c r="R57" s="1"/>
      <c r="S57" s="1"/>
      <c r="T57" s="1"/>
      <c r="U57" s="1"/>
      <c r="V57" s="1"/>
      <c r="W57" s="1"/>
      <c r="X57" s="1"/>
      <c r="Y57" s="1"/>
      <c r="Z57" s="1"/>
    </row>
    <row r="58" spans="1:26">
      <c r="A58" s="3" t="s">
        <v>71</v>
      </c>
      <c r="B58" s="3" t="s">
        <v>316</v>
      </c>
      <c r="C58" s="3" t="s">
        <v>161</v>
      </c>
      <c r="D58" s="7">
        <v>168280</v>
      </c>
      <c r="E58" s="3" t="s">
        <v>75</v>
      </c>
      <c r="F58" s="11" t="s">
        <v>85</v>
      </c>
      <c r="G58" s="3" t="s">
        <v>366</v>
      </c>
      <c r="H58" s="3" t="s">
        <v>112</v>
      </c>
      <c r="I58" s="3" t="s">
        <v>112</v>
      </c>
      <c r="J58" s="3"/>
      <c r="K58" s="1"/>
      <c r="L58" s="1"/>
      <c r="M58" s="1"/>
      <c r="N58" s="1"/>
      <c r="O58" s="1"/>
      <c r="P58" s="1"/>
      <c r="Q58" s="1"/>
      <c r="R58" s="1"/>
      <c r="S58" s="1"/>
      <c r="T58" s="1"/>
      <c r="U58" s="1"/>
      <c r="V58" s="1"/>
      <c r="W58" s="1"/>
      <c r="X58" s="1"/>
      <c r="Y58" s="1"/>
      <c r="Z58" s="1"/>
    </row>
    <row r="59" spans="1:26">
      <c r="A59" s="3" t="s">
        <v>71</v>
      </c>
      <c r="B59" s="3" t="s">
        <v>316</v>
      </c>
      <c r="C59" s="3" t="s">
        <v>368</v>
      </c>
      <c r="D59" s="7">
        <v>105838</v>
      </c>
      <c r="E59" s="3" t="s">
        <v>75</v>
      </c>
      <c r="F59" s="11" t="s">
        <v>85</v>
      </c>
      <c r="G59" s="3" t="s">
        <v>366</v>
      </c>
      <c r="H59" s="3" t="s">
        <v>112</v>
      </c>
      <c r="I59" s="3" t="s">
        <v>112</v>
      </c>
      <c r="J59" s="3"/>
      <c r="K59" s="1"/>
      <c r="L59" s="1"/>
      <c r="M59" s="1"/>
      <c r="N59" s="1"/>
      <c r="O59" s="1"/>
      <c r="P59" s="1"/>
      <c r="Q59" s="1"/>
      <c r="R59" s="1"/>
      <c r="S59" s="1"/>
      <c r="T59" s="1"/>
      <c r="U59" s="1"/>
      <c r="V59" s="1"/>
      <c r="W59" s="1"/>
      <c r="X59" s="1"/>
      <c r="Y59" s="1"/>
      <c r="Z59" s="1"/>
    </row>
    <row r="60" spans="1:26">
      <c r="A60" s="3" t="s">
        <v>72</v>
      </c>
      <c r="B60" s="3" t="s">
        <v>316</v>
      </c>
      <c r="C60" s="3" t="s">
        <v>365</v>
      </c>
      <c r="D60" s="7">
        <v>732300</v>
      </c>
      <c r="E60" s="3" t="s">
        <v>75</v>
      </c>
      <c r="F60" s="11" t="s">
        <v>86</v>
      </c>
      <c r="G60" s="3" t="s">
        <v>366</v>
      </c>
      <c r="H60" s="3" t="s">
        <v>112</v>
      </c>
      <c r="I60" s="3" t="s">
        <v>112</v>
      </c>
      <c r="J60" s="3" t="s">
        <v>90</v>
      </c>
      <c r="K60" s="1"/>
      <c r="L60" s="1"/>
      <c r="M60" s="1"/>
      <c r="N60" s="1"/>
      <c r="O60" s="1"/>
      <c r="P60" s="1"/>
      <c r="Q60" s="1"/>
      <c r="R60" s="1"/>
      <c r="S60" s="1"/>
      <c r="T60" s="1"/>
      <c r="U60" s="1"/>
      <c r="V60" s="1"/>
      <c r="W60" s="1"/>
      <c r="X60" s="1"/>
      <c r="Y60" s="1"/>
      <c r="Z60" s="1"/>
    </row>
    <row r="61" spans="1:26">
      <c r="A61" s="3" t="s">
        <v>72</v>
      </c>
      <c r="B61" s="3" t="s">
        <v>316</v>
      </c>
      <c r="C61" s="3" t="s">
        <v>367</v>
      </c>
      <c r="D61" s="7">
        <v>2102800</v>
      </c>
      <c r="E61" s="3" t="s">
        <v>75</v>
      </c>
      <c r="F61" s="11" t="s">
        <v>86</v>
      </c>
      <c r="G61" s="3" t="s">
        <v>366</v>
      </c>
      <c r="H61" s="3" t="s">
        <v>112</v>
      </c>
      <c r="I61" s="3" t="s">
        <v>112</v>
      </c>
      <c r="J61" s="3" t="s">
        <v>90</v>
      </c>
      <c r="K61" s="1"/>
      <c r="L61" s="1"/>
      <c r="M61" s="1"/>
      <c r="N61" s="1"/>
      <c r="O61" s="1"/>
      <c r="P61" s="1"/>
      <c r="Q61" s="1"/>
      <c r="R61" s="1"/>
      <c r="S61" s="1"/>
      <c r="T61" s="1"/>
      <c r="U61" s="1"/>
      <c r="V61" s="1"/>
      <c r="W61" s="1"/>
      <c r="X61" s="1"/>
      <c r="Y61" s="1"/>
      <c r="Z61" s="1"/>
    </row>
    <row r="62" spans="1:26">
      <c r="A62" s="3" t="s">
        <v>72</v>
      </c>
      <c r="B62" s="3" t="s">
        <v>316</v>
      </c>
      <c r="C62" s="3" t="s">
        <v>158</v>
      </c>
      <c r="D62" s="7" t="s">
        <v>112</v>
      </c>
      <c r="E62" s="3" t="s">
        <v>75</v>
      </c>
      <c r="F62" s="11" t="s">
        <v>86</v>
      </c>
      <c r="G62" s="3" t="s">
        <v>366</v>
      </c>
      <c r="H62" s="3" t="s">
        <v>112</v>
      </c>
      <c r="I62" s="3" t="s">
        <v>112</v>
      </c>
      <c r="J62" s="3" t="s">
        <v>90</v>
      </c>
      <c r="K62" s="1"/>
      <c r="L62" s="1"/>
      <c r="M62" s="1"/>
      <c r="N62" s="1"/>
      <c r="O62" s="1"/>
      <c r="P62" s="1"/>
      <c r="Q62" s="1"/>
      <c r="R62" s="1"/>
      <c r="S62" s="1"/>
      <c r="T62" s="1"/>
      <c r="U62" s="1"/>
      <c r="V62" s="1"/>
      <c r="W62" s="1"/>
      <c r="X62" s="1"/>
      <c r="Y62" s="1"/>
      <c r="Z62" s="1"/>
    </row>
    <row r="63" spans="1:26">
      <c r="A63" s="3" t="s">
        <v>72</v>
      </c>
      <c r="B63" s="3" t="s">
        <v>316</v>
      </c>
      <c r="C63" s="3" t="s">
        <v>161</v>
      </c>
      <c r="D63" s="7">
        <v>174000</v>
      </c>
      <c r="E63" s="3" t="s">
        <v>75</v>
      </c>
      <c r="F63" s="11" t="s">
        <v>86</v>
      </c>
      <c r="G63" s="3" t="s">
        <v>366</v>
      </c>
      <c r="H63" s="3" t="s">
        <v>112</v>
      </c>
      <c r="I63" s="3" t="s">
        <v>112</v>
      </c>
      <c r="J63" s="3" t="s">
        <v>90</v>
      </c>
      <c r="K63" s="1"/>
      <c r="L63" s="1"/>
      <c r="M63" s="1"/>
      <c r="N63" s="1"/>
      <c r="O63" s="1"/>
      <c r="P63" s="1"/>
      <c r="Q63" s="1"/>
      <c r="R63" s="1"/>
      <c r="S63" s="1"/>
      <c r="T63" s="1"/>
      <c r="U63" s="1"/>
      <c r="V63" s="1"/>
      <c r="W63" s="1"/>
      <c r="X63" s="1"/>
      <c r="Y63" s="1"/>
      <c r="Z63" s="1"/>
    </row>
    <row r="64" spans="1:26">
      <c r="A64" s="3" t="s">
        <v>72</v>
      </c>
      <c r="B64" s="3" t="s">
        <v>316</v>
      </c>
      <c r="C64" s="3" t="s">
        <v>368</v>
      </c>
      <c r="D64" s="7" t="s">
        <v>112</v>
      </c>
      <c r="E64" s="3" t="s">
        <v>75</v>
      </c>
      <c r="F64" s="11" t="s">
        <v>86</v>
      </c>
      <c r="G64" s="3" t="s">
        <v>366</v>
      </c>
      <c r="H64" s="3" t="s">
        <v>112</v>
      </c>
      <c r="I64" s="3" t="s">
        <v>112</v>
      </c>
      <c r="J64" s="3" t="s">
        <v>90</v>
      </c>
      <c r="K64" s="1"/>
      <c r="L64" s="1"/>
      <c r="M64" s="1"/>
      <c r="N64" s="1"/>
      <c r="O64" s="1"/>
      <c r="P64" s="1"/>
      <c r="Q64" s="1"/>
      <c r="R64" s="1"/>
      <c r="S64" s="1"/>
      <c r="T64" s="1"/>
      <c r="U64" s="1"/>
      <c r="V64" s="1"/>
      <c r="W64" s="1"/>
      <c r="X64" s="1"/>
      <c r="Y64" s="1"/>
      <c r="Z64" s="1"/>
    </row>
    <row r="65" spans="1:26">
      <c r="A65" s="3" t="s">
        <v>65</v>
      </c>
      <c r="B65" s="3" t="s">
        <v>316</v>
      </c>
      <c r="C65" s="3" t="s">
        <v>369</v>
      </c>
      <c r="D65" s="7">
        <v>605000</v>
      </c>
      <c r="E65" s="3" t="s">
        <v>75</v>
      </c>
      <c r="F65" s="11" t="s">
        <v>100</v>
      </c>
      <c r="G65" s="3" t="s">
        <v>370</v>
      </c>
      <c r="H65" s="3" t="s">
        <v>112</v>
      </c>
      <c r="I65" s="3" t="s">
        <v>112</v>
      </c>
      <c r="J65" s="3" t="s">
        <v>371</v>
      </c>
      <c r="K65" s="1"/>
      <c r="L65" s="1"/>
      <c r="M65" s="1"/>
      <c r="N65" s="1"/>
      <c r="O65" s="1"/>
      <c r="P65" s="1"/>
      <c r="Q65" s="1"/>
      <c r="R65" s="1"/>
      <c r="S65" s="1"/>
      <c r="T65" s="1"/>
      <c r="U65" s="1"/>
      <c r="V65" s="1"/>
      <c r="W65" s="1"/>
      <c r="X65" s="1"/>
      <c r="Y65" s="1"/>
      <c r="Z65" s="1"/>
    </row>
    <row r="66" spans="1:26">
      <c r="A66" s="3" t="s">
        <v>66</v>
      </c>
      <c r="B66" s="3" t="s">
        <v>316</v>
      </c>
      <c r="C66" s="3" t="s">
        <v>369</v>
      </c>
      <c r="D66" s="7">
        <v>598000</v>
      </c>
      <c r="E66" s="3" t="s">
        <v>75</v>
      </c>
      <c r="F66" s="11" t="s">
        <v>100</v>
      </c>
      <c r="G66" s="3" t="s">
        <v>370</v>
      </c>
      <c r="H66" s="3" t="s">
        <v>112</v>
      </c>
      <c r="I66" s="3" t="s">
        <v>112</v>
      </c>
      <c r="J66" s="3" t="s">
        <v>371</v>
      </c>
      <c r="K66" s="1"/>
      <c r="L66" s="1"/>
      <c r="M66" s="1"/>
      <c r="N66" s="1"/>
      <c r="O66" s="1"/>
      <c r="P66" s="1"/>
      <c r="Q66" s="1"/>
      <c r="R66" s="1"/>
      <c r="S66" s="1"/>
      <c r="T66" s="1"/>
      <c r="U66" s="1"/>
      <c r="V66" s="1"/>
      <c r="W66" s="1"/>
      <c r="X66" s="1"/>
      <c r="Y66" s="1"/>
      <c r="Z66" s="1"/>
    </row>
    <row r="67" spans="1:26">
      <c r="A67" s="3" t="s">
        <v>67</v>
      </c>
      <c r="B67" s="3" t="s">
        <v>316</v>
      </c>
      <c r="C67" s="3" t="s">
        <v>369</v>
      </c>
      <c r="D67" s="7">
        <v>578900</v>
      </c>
      <c r="E67" s="3" t="s">
        <v>75</v>
      </c>
      <c r="F67" s="11" t="s">
        <v>100</v>
      </c>
      <c r="G67" s="3" t="s">
        <v>370</v>
      </c>
      <c r="H67" s="3" t="s">
        <v>112</v>
      </c>
      <c r="I67" s="3" t="s">
        <v>112</v>
      </c>
      <c r="J67" s="3" t="s">
        <v>371</v>
      </c>
      <c r="K67" s="1"/>
      <c r="L67" s="1"/>
      <c r="M67" s="1"/>
      <c r="N67" s="1"/>
      <c r="O67" s="1"/>
      <c r="P67" s="1"/>
      <c r="Q67" s="1"/>
      <c r="R67" s="1"/>
      <c r="S67" s="1"/>
      <c r="T67" s="1"/>
      <c r="U67" s="1"/>
      <c r="V67" s="1"/>
      <c r="W67" s="1"/>
      <c r="X67" s="1"/>
      <c r="Y67" s="1"/>
      <c r="Z67" s="1"/>
    </row>
    <row r="68" spans="1:26">
      <c r="A68" s="3" t="s">
        <v>68</v>
      </c>
      <c r="B68" s="3" t="s">
        <v>316</v>
      </c>
      <c r="C68" s="3" t="s">
        <v>369</v>
      </c>
      <c r="D68" s="7">
        <v>496500</v>
      </c>
      <c r="E68" s="3" t="s">
        <v>75</v>
      </c>
      <c r="F68" s="11" t="s">
        <v>100</v>
      </c>
      <c r="G68" s="3" t="s">
        <v>370</v>
      </c>
      <c r="H68" s="3" t="s">
        <v>112</v>
      </c>
      <c r="I68" s="3" t="s">
        <v>112</v>
      </c>
      <c r="J68" s="3" t="s">
        <v>371</v>
      </c>
      <c r="K68" s="1"/>
      <c r="L68" s="1"/>
      <c r="M68" s="1"/>
      <c r="N68" s="1"/>
      <c r="O68" s="1"/>
      <c r="P68" s="1"/>
      <c r="Q68" s="1"/>
      <c r="R68" s="1"/>
      <c r="S68" s="1"/>
      <c r="T68" s="1"/>
      <c r="U68" s="1"/>
      <c r="V68" s="1"/>
      <c r="W68" s="1"/>
      <c r="X68" s="1"/>
      <c r="Y68" s="1"/>
      <c r="Z68" s="1"/>
    </row>
    <row r="69" spans="1:26">
      <c r="A69" s="3" t="s">
        <v>71</v>
      </c>
      <c r="B69" s="3" t="s">
        <v>316</v>
      </c>
      <c r="C69" s="3" t="s">
        <v>369</v>
      </c>
      <c r="D69" s="7">
        <v>2599100</v>
      </c>
      <c r="E69" s="3" t="s">
        <v>75</v>
      </c>
      <c r="F69" s="11" t="s">
        <v>86</v>
      </c>
      <c r="G69" s="3" t="s">
        <v>370</v>
      </c>
      <c r="H69" s="3" t="s">
        <v>112</v>
      </c>
      <c r="I69" s="3" t="s">
        <v>112</v>
      </c>
      <c r="J69" s="3" t="s">
        <v>371</v>
      </c>
      <c r="K69" s="1"/>
      <c r="L69" s="1"/>
      <c r="M69" s="1"/>
      <c r="N69" s="1"/>
      <c r="O69" s="1"/>
      <c r="P69" s="1"/>
      <c r="Q69" s="1"/>
      <c r="R69" s="1"/>
      <c r="S69" s="1"/>
      <c r="T69" s="1"/>
      <c r="U69" s="1"/>
      <c r="V69" s="1"/>
      <c r="W69" s="1"/>
      <c r="X69" s="1"/>
      <c r="Y69" s="1"/>
      <c r="Z69" s="1"/>
    </row>
    <row r="70" spans="1:26">
      <c r="A70" s="3" t="s">
        <v>72</v>
      </c>
      <c r="B70" s="3" t="s">
        <v>316</v>
      </c>
      <c r="C70" s="3" t="s">
        <v>369</v>
      </c>
      <c r="D70" s="7">
        <v>2835100</v>
      </c>
      <c r="E70" s="3" t="s">
        <v>75</v>
      </c>
      <c r="F70" s="11" t="s">
        <v>86</v>
      </c>
      <c r="G70" s="3" t="s">
        <v>370</v>
      </c>
      <c r="H70" s="3" t="s">
        <v>112</v>
      </c>
      <c r="I70" s="3" t="s">
        <v>112</v>
      </c>
      <c r="J70" s="3" t="s">
        <v>371</v>
      </c>
      <c r="K70" s="1"/>
      <c r="L70" s="1"/>
      <c r="M70" s="1"/>
      <c r="N70" s="1"/>
      <c r="O70" s="1"/>
      <c r="P70" s="1"/>
      <c r="Q70" s="1"/>
      <c r="R70" s="1"/>
      <c r="S70" s="1"/>
      <c r="T70" s="1"/>
      <c r="U70" s="1"/>
      <c r="V70" s="1"/>
      <c r="W70" s="1"/>
      <c r="X70" s="1"/>
      <c r="Y70" s="1"/>
      <c r="Z70" s="1"/>
    </row>
    <row r="71" spans="1:26">
      <c r="A71" s="3" t="s">
        <v>64</v>
      </c>
      <c r="B71" s="3" t="s">
        <v>311</v>
      </c>
      <c r="C71" s="3" t="s">
        <v>372</v>
      </c>
      <c r="D71" s="7" t="s">
        <v>373</v>
      </c>
      <c r="E71" s="3" t="s">
        <v>374</v>
      </c>
      <c r="F71" s="11" t="s">
        <v>78</v>
      </c>
      <c r="G71" s="3" t="s">
        <v>375</v>
      </c>
      <c r="H71" s="3" t="s">
        <v>112</v>
      </c>
      <c r="I71" s="3" t="s">
        <v>376</v>
      </c>
      <c r="J71" s="3" t="s">
        <v>377</v>
      </c>
      <c r="K71" s="1"/>
      <c r="L71" s="1"/>
      <c r="M71" s="1"/>
      <c r="N71" s="1"/>
      <c r="O71" s="1"/>
      <c r="P71" s="1"/>
      <c r="Q71" s="1"/>
      <c r="R71" s="1"/>
      <c r="S71" s="1"/>
      <c r="T71" s="1"/>
      <c r="U71" s="1"/>
      <c r="V71" s="1"/>
      <c r="W71" s="1"/>
      <c r="X71" s="1"/>
      <c r="Y71" s="1"/>
      <c r="Z71" s="1"/>
    </row>
    <row r="72" spans="1:26">
      <c r="A72" s="3" t="s">
        <v>64</v>
      </c>
      <c r="B72" s="3" t="s">
        <v>311</v>
      </c>
      <c r="C72" s="3" t="s">
        <v>378</v>
      </c>
      <c r="D72" s="7" t="s">
        <v>379</v>
      </c>
      <c r="E72" s="3" t="s">
        <v>374</v>
      </c>
      <c r="F72" s="11" t="s">
        <v>78</v>
      </c>
      <c r="G72" s="3" t="s">
        <v>375</v>
      </c>
      <c r="H72" s="3" t="s">
        <v>112</v>
      </c>
      <c r="I72" s="3" t="s">
        <v>380</v>
      </c>
      <c r="J72" s="3" t="s">
        <v>377</v>
      </c>
      <c r="K72" s="1"/>
      <c r="L72" s="1"/>
      <c r="M72" s="1"/>
      <c r="N72" s="1"/>
      <c r="O72" s="1"/>
      <c r="P72" s="1"/>
      <c r="Q72" s="1"/>
      <c r="R72" s="1"/>
      <c r="S72" s="1"/>
      <c r="T72" s="1"/>
      <c r="U72" s="1"/>
      <c r="V72" s="1"/>
      <c r="W72" s="1"/>
      <c r="X72" s="1"/>
      <c r="Y72" s="1"/>
      <c r="Z72" s="1"/>
    </row>
    <row r="73" spans="1:26">
      <c r="A73" s="3" t="s">
        <v>67</v>
      </c>
      <c r="B73" s="3" t="s">
        <v>316</v>
      </c>
      <c r="C73" s="3" t="s">
        <v>372</v>
      </c>
      <c r="D73" s="7" t="s">
        <v>373</v>
      </c>
      <c r="E73" s="3" t="s">
        <v>374</v>
      </c>
      <c r="F73" s="11" t="s">
        <v>81</v>
      </c>
      <c r="G73" s="3" t="s">
        <v>381</v>
      </c>
      <c r="H73" s="3" t="s">
        <v>112</v>
      </c>
      <c r="I73" s="3" t="s">
        <v>376</v>
      </c>
      <c r="J73" s="3" t="s">
        <v>377</v>
      </c>
      <c r="K73" s="1"/>
      <c r="L73" s="1"/>
      <c r="M73" s="1"/>
      <c r="N73" s="1"/>
      <c r="O73" s="1"/>
      <c r="P73" s="1"/>
      <c r="Q73" s="1"/>
      <c r="R73" s="1"/>
      <c r="S73" s="1"/>
      <c r="T73" s="1"/>
      <c r="U73" s="1"/>
      <c r="V73" s="1"/>
      <c r="W73" s="1"/>
      <c r="X73" s="1"/>
      <c r="Y73" s="1"/>
      <c r="Z73" s="1"/>
    </row>
    <row r="74" spans="1:26">
      <c r="A74" s="3" t="s">
        <v>67</v>
      </c>
      <c r="B74" s="3" t="s">
        <v>316</v>
      </c>
      <c r="C74" s="3" t="s">
        <v>378</v>
      </c>
      <c r="D74" s="7" t="s">
        <v>379</v>
      </c>
      <c r="E74" s="3" t="s">
        <v>374</v>
      </c>
      <c r="F74" s="11" t="s">
        <v>81</v>
      </c>
      <c r="G74" s="3" t="s">
        <v>381</v>
      </c>
      <c r="H74" s="3" t="s">
        <v>112</v>
      </c>
      <c r="I74" s="3" t="s">
        <v>380</v>
      </c>
      <c r="J74" s="3" t="s">
        <v>377</v>
      </c>
      <c r="K74" s="1"/>
      <c r="L74" s="1"/>
      <c r="M74" s="1"/>
      <c r="N74" s="1"/>
      <c r="O74" s="1"/>
      <c r="P74" s="1"/>
      <c r="Q74" s="1"/>
      <c r="R74" s="1"/>
      <c r="S74" s="1"/>
      <c r="T74" s="1"/>
      <c r="U74" s="1"/>
      <c r="V74" s="1"/>
      <c r="W74" s="1"/>
      <c r="X74" s="1"/>
      <c r="Y74" s="1"/>
      <c r="Z74" s="1"/>
    </row>
    <row r="75" spans="1:26">
      <c r="A75" s="3" t="s">
        <v>68</v>
      </c>
      <c r="B75" s="3" t="s">
        <v>316</v>
      </c>
      <c r="C75" s="3" t="s">
        <v>378</v>
      </c>
      <c r="D75" s="7" t="s">
        <v>373</v>
      </c>
      <c r="E75" s="3" t="s">
        <v>374</v>
      </c>
      <c r="F75" s="11" t="s">
        <v>82</v>
      </c>
      <c r="G75" s="3" t="s">
        <v>382</v>
      </c>
      <c r="H75" s="3" t="s">
        <v>112</v>
      </c>
      <c r="I75" s="3" t="s">
        <v>383</v>
      </c>
      <c r="J75" s="3" t="s">
        <v>384</v>
      </c>
      <c r="K75" s="1"/>
      <c r="L75" s="1"/>
      <c r="M75" s="1"/>
      <c r="N75" s="1"/>
      <c r="O75" s="1"/>
      <c r="P75" s="1"/>
      <c r="Q75" s="1"/>
      <c r="R75" s="1"/>
      <c r="S75" s="1"/>
      <c r="T75" s="1"/>
      <c r="U75" s="1"/>
      <c r="V75" s="1"/>
      <c r="W75" s="1"/>
      <c r="X75" s="1"/>
      <c r="Y75" s="1"/>
      <c r="Z75" s="1"/>
    </row>
    <row r="76" spans="1:26">
      <c r="A76" s="3" t="s">
        <v>68</v>
      </c>
      <c r="B76" s="3" t="s">
        <v>316</v>
      </c>
      <c r="C76" s="3" t="s">
        <v>372</v>
      </c>
      <c r="D76" s="7" t="s">
        <v>373</v>
      </c>
      <c r="E76" s="3" t="s">
        <v>374</v>
      </c>
      <c r="F76" s="11" t="s">
        <v>100</v>
      </c>
      <c r="G76" s="3" t="s">
        <v>385</v>
      </c>
      <c r="H76" s="3" t="s">
        <v>112</v>
      </c>
      <c r="I76" s="3" t="s">
        <v>376</v>
      </c>
      <c r="J76" s="3" t="s">
        <v>377</v>
      </c>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A1:J1"/>
    <mergeCell ref="A2:J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20"/>
  <sheetViews>
    <sheetView workbookViewId="0">
      <selection sqref="A1:K1"/>
    </sheetView>
  </sheetViews>
  <sheetFormatPr defaultRowHeight="14"/>
  <cols>
    <col min="1" max="1" width="12" customWidth="1"/>
    <col min="2" max="2" width="20" customWidth="1"/>
    <col min="3" max="3" width="42" customWidth="1"/>
    <col min="4" max="4" width="34" customWidth="1"/>
    <col min="5" max="5" width="30" customWidth="1"/>
    <col min="6" max="6" width="28" customWidth="1"/>
    <col min="7" max="7" width="64" customWidth="1"/>
    <col min="8" max="8" width="44" customWidth="1"/>
    <col min="9" max="9" width="62" customWidth="1"/>
    <col min="10" max="10" width="10" customWidth="1"/>
    <col min="11" max="11" width="44" customWidth="1"/>
  </cols>
  <sheetData>
    <row r="1" spans="1:26" ht="18.649999999999999" customHeight="1">
      <c r="A1" s="140" t="s">
        <v>386</v>
      </c>
      <c r="B1" s="140"/>
      <c r="C1" s="140"/>
      <c r="D1" s="140"/>
      <c r="E1" s="140"/>
      <c r="F1" s="140"/>
      <c r="G1" s="140"/>
      <c r="H1" s="140"/>
      <c r="I1" s="140"/>
      <c r="J1" s="140"/>
      <c r="K1" s="140"/>
      <c r="L1" s="1"/>
      <c r="M1" s="1"/>
      <c r="N1" s="1"/>
      <c r="O1" s="1"/>
      <c r="P1" s="1"/>
      <c r="Q1" s="1"/>
      <c r="R1" s="1"/>
      <c r="S1" s="1"/>
      <c r="T1" s="1"/>
      <c r="U1" s="1"/>
      <c r="V1" s="1"/>
      <c r="W1" s="1"/>
      <c r="X1" s="1"/>
      <c r="Y1" s="1"/>
      <c r="Z1" s="1"/>
    </row>
    <row r="2" spans="1:26" ht="21.4" customHeight="1">
      <c r="A2" s="141" t="s">
        <v>387</v>
      </c>
      <c r="B2" s="141"/>
      <c r="C2" s="141"/>
      <c r="D2" s="141"/>
      <c r="E2" s="141"/>
      <c r="F2" s="141"/>
      <c r="G2" s="141"/>
      <c r="H2" s="141"/>
      <c r="I2" s="141"/>
      <c r="J2" s="141"/>
      <c r="K2" s="14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0" t="s">
        <v>302</v>
      </c>
      <c r="B4" s="10" t="s">
        <v>388</v>
      </c>
      <c r="C4" s="10" t="s">
        <v>389</v>
      </c>
      <c r="D4" s="10" t="s">
        <v>390</v>
      </c>
      <c r="E4" s="10" t="s">
        <v>391</v>
      </c>
      <c r="F4" s="10" t="s">
        <v>392</v>
      </c>
      <c r="G4" s="10" t="s">
        <v>393</v>
      </c>
      <c r="H4" s="10" t="s">
        <v>394</v>
      </c>
      <c r="I4" s="10" t="s">
        <v>395</v>
      </c>
      <c r="J4" s="10" t="s">
        <v>308</v>
      </c>
      <c r="K4" s="10" t="s">
        <v>309</v>
      </c>
      <c r="L4" s="1"/>
      <c r="M4" s="1"/>
      <c r="N4" s="1"/>
      <c r="O4" s="1"/>
      <c r="P4" s="1"/>
      <c r="Q4" s="1"/>
      <c r="R4" s="1"/>
      <c r="S4" s="1"/>
      <c r="T4" s="1"/>
      <c r="U4" s="1"/>
      <c r="V4" s="1"/>
      <c r="W4" s="1"/>
      <c r="X4" s="1"/>
      <c r="Y4" s="1"/>
      <c r="Z4" s="1"/>
    </row>
    <row r="5" spans="1:26" ht="42">
      <c r="A5" s="3" t="s">
        <v>63</v>
      </c>
      <c r="B5" s="3" t="s">
        <v>396</v>
      </c>
      <c r="C5" s="3" t="s">
        <v>397</v>
      </c>
      <c r="D5" s="3" t="s">
        <v>398</v>
      </c>
      <c r="E5" s="3" t="s">
        <v>399</v>
      </c>
      <c r="F5" s="3" t="s">
        <v>400</v>
      </c>
      <c r="G5" s="3" t="s">
        <v>401</v>
      </c>
      <c r="H5" s="3" t="s">
        <v>402</v>
      </c>
      <c r="I5" s="3" t="s">
        <v>403</v>
      </c>
      <c r="J5" s="11" t="s">
        <v>404</v>
      </c>
      <c r="K5" s="3" t="s">
        <v>405</v>
      </c>
      <c r="L5" s="1"/>
      <c r="M5" s="1"/>
      <c r="N5" s="1"/>
      <c r="O5" s="1"/>
      <c r="P5" s="1"/>
      <c r="Q5" s="1"/>
      <c r="R5" s="1"/>
      <c r="S5" s="1"/>
      <c r="T5" s="1"/>
      <c r="U5" s="1"/>
      <c r="V5" s="1"/>
      <c r="W5" s="1"/>
      <c r="X5" s="1"/>
      <c r="Y5" s="1"/>
      <c r="Z5" s="1"/>
    </row>
    <row r="6" spans="1:26" ht="28">
      <c r="A6" s="3" t="s">
        <v>64</v>
      </c>
      <c r="B6" s="3" t="s">
        <v>406</v>
      </c>
      <c r="C6" s="3" t="s">
        <v>407</v>
      </c>
      <c r="D6" s="3" t="s">
        <v>408</v>
      </c>
      <c r="E6" s="3" t="s">
        <v>409</v>
      </c>
      <c r="F6" s="3" t="s">
        <v>112</v>
      </c>
      <c r="G6" s="3" t="s">
        <v>410</v>
      </c>
      <c r="H6" s="3" t="s">
        <v>411</v>
      </c>
      <c r="I6" s="3" t="s">
        <v>412</v>
      </c>
      <c r="J6" s="11" t="s">
        <v>413</v>
      </c>
      <c r="K6" s="3" t="s">
        <v>414</v>
      </c>
      <c r="L6" s="1"/>
      <c r="M6" s="1"/>
      <c r="N6" s="1"/>
      <c r="O6" s="1"/>
      <c r="P6" s="1"/>
      <c r="Q6" s="1"/>
      <c r="R6" s="1"/>
      <c r="S6" s="1"/>
      <c r="T6" s="1"/>
      <c r="U6" s="1"/>
      <c r="V6" s="1"/>
      <c r="W6" s="1"/>
      <c r="X6" s="1"/>
      <c r="Y6" s="1"/>
      <c r="Z6" s="1"/>
    </row>
    <row r="7" spans="1:26" ht="28">
      <c r="A7" s="3" t="s">
        <v>64</v>
      </c>
      <c r="B7" s="3" t="s">
        <v>415</v>
      </c>
      <c r="C7" s="3" t="s">
        <v>416</v>
      </c>
      <c r="D7" s="3" t="s">
        <v>417</v>
      </c>
      <c r="E7" s="3" t="s">
        <v>418</v>
      </c>
      <c r="F7" s="3" t="s">
        <v>112</v>
      </c>
      <c r="G7" s="3" t="s">
        <v>419</v>
      </c>
      <c r="H7" s="3" t="s">
        <v>420</v>
      </c>
      <c r="I7" s="3" t="s">
        <v>421</v>
      </c>
      <c r="J7" s="11" t="s">
        <v>422</v>
      </c>
      <c r="K7" s="3" t="s">
        <v>423</v>
      </c>
      <c r="L7" s="1"/>
      <c r="M7" s="1"/>
      <c r="N7" s="1"/>
      <c r="O7" s="1"/>
      <c r="P7" s="1"/>
      <c r="Q7" s="1"/>
      <c r="R7" s="1"/>
      <c r="S7" s="1"/>
      <c r="T7" s="1"/>
      <c r="U7" s="1"/>
      <c r="V7" s="1"/>
      <c r="W7" s="1"/>
      <c r="X7" s="1"/>
      <c r="Y7" s="1"/>
      <c r="Z7" s="1"/>
    </row>
    <row r="8" spans="1:26" ht="28">
      <c r="A8" s="3" t="s">
        <v>66</v>
      </c>
      <c r="B8" s="3" t="s">
        <v>424</v>
      </c>
      <c r="C8" s="3" t="s">
        <v>425</v>
      </c>
      <c r="D8" s="3" t="s">
        <v>417</v>
      </c>
      <c r="E8" s="3" t="s">
        <v>426</v>
      </c>
      <c r="F8" s="3" t="s">
        <v>112</v>
      </c>
      <c r="G8" s="3" t="s">
        <v>427</v>
      </c>
      <c r="H8" s="3" t="s">
        <v>428</v>
      </c>
      <c r="I8" s="3" t="s">
        <v>429</v>
      </c>
      <c r="J8" s="11" t="s">
        <v>80</v>
      </c>
      <c r="K8" s="3" t="s">
        <v>430</v>
      </c>
      <c r="L8" s="1"/>
      <c r="M8" s="1"/>
      <c r="N8" s="1"/>
      <c r="O8" s="1"/>
      <c r="P8" s="1"/>
      <c r="Q8" s="1"/>
      <c r="R8" s="1"/>
      <c r="S8" s="1"/>
      <c r="T8" s="1"/>
      <c r="U8" s="1"/>
      <c r="V8" s="1"/>
      <c r="W8" s="1"/>
      <c r="X8" s="1"/>
      <c r="Y8" s="1"/>
      <c r="Z8" s="1"/>
    </row>
    <row r="9" spans="1:26" ht="56">
      <c r="A9" s="3" t="s">
        <v>69</v>
      </c>
      <c r="B9" s="3" t="s">
        <v>431</v>
      </c>
      <c r="C9" s="3" t="s">
        <v>432</v>
      </c>
      <c r="D9" s="3" t="s">
        <v>433</v>
      </c>
      <c r="E9" s="3" t="s">
        <v>434</v>
      </c>
      <c r="F9" s="3" t="s">
        <v>112</v>
      </c>
      <c r="G9" s="3" t="s">
        <v>435</v>
      </c>
      <c r="H9" s="3" t="s">
        <v>436</v>
      </c>
      <c r="I9" s="3" t="s">
        <v>437</v>
      </c>
      <c r="J9" s="11" t="s">
        <v>179</v>
      </c>
      <c r="K9" s="3" t="s">
        <v>438</v>
      </c>
      <c r="L9" s="1"/>
      <c r="M9" s="1"/>
      <c r="N9" s="1"/>
      <c r="O9" s="1"/>
      <c r="P9" s="1"/>
      <c r="Q9" s="1"/>
      <c r="R9" s="1"/>
      <c r="S9" s="1"/>
      <c r="T9" s="1"/>
      <c r="U9" s="1"/>
      <c r="V9" s="1"/>
      <c r="W9" s="1"/>
      <c r="X9" s="1"/>
      <c r="Y9" s="1"/>
      <c r="Z9" s="1"/>
    </row>
    <row r="10" spans="1:26" ht="28">
      <c r="A10" s="3" t="s">
        <v>70</v>
      </c>
      <c r="B10" s="3" t="s">
        <v>439</v>
      </c>
      <c r="C10" s="3" t="s">
        <v>440</v>
      </c>
      <c r="D10" s="3" t="s">
        <v>441</v>
      </c>
      <c r="E10" s="3" t="s">
        <v>442</v>
      </c>
      <c r="F10" s="3" t="s">
        <v>112</v>
      </c>
      <c r="G10" s="3" t="s">
        <v>443</v>
      </c>
      <c r="H10" s="3" t="s">
        <v>444</v>
      </c>
      <c r="I10" s="3" t="s">
        <v>445</v>
      </c>
      <c r="J10" s="11" t="s">
        <v>446</v>
      </c>
      <c r="K10" s="3" t="s">
        <v>447</v>
      </c>
      <c r="L10" s="1"/>
      <c r="M10" s="1"/>
      <c r="N10" s="1"/>
      <c r="O10" s="1"/>
      <c r="P10" s="1"/>
      <c r="Q10" s="1"/>
      <c r="R10" s="1"/>
      <c r="S10" s="1"/>
      <c r="T10" s="1"/>
      <c r="U10" s="1"/>
      <c r="V10" s="1"/>
      <c r="W10" s="1"/>
      <c r="X10" s="1"/>
      <c r="Y10" s="1"/>
      <c r="Z10" s="1"/>
    </row>
    <row r="11" spans="1:26" ht="28">
      <c r="A11" s="3" t="s">
        <v>71</v>
      </c>
      <c r="B11" s="3" t="s">
        <v>448</v>
      </c>
      <c r="C11" s="3" t="s">
        <v>449</v>
      </c>
      <c r="D11" s="3" t="s">
        <v>450</v>
      </c>
      <c r="E11" s="3" t="s">
        <v>451</v>
      </c>
      <c r="F11" s="3" t="s">
        <v>112</v>
      </c>
      <c r="G11" s="3" t="s">
        <v>452</v>
      </c>
      <c r="H11" s="3" t="s">
        <v>453</v>
      </c>
      <c r="I11" s="3" t="s">
        <v>454</v>
      </c>
      <c r="J11" s="11" t="s">
        <v>85</v>
      </c>
      <c r="K11" s="3" t="s">
        <v>455</v>
      </c>
      <c r="L11" s="1"/>
      <c r="M11" s="1"/>
      <c r="N11" s="1"/>
      <c r="O11" s="1"/>
      <c r="P11" s="1"/>
      <c r="Q11" s="1"/>
      <c r="R11" s="1"/>
      <c r="S11" s="1"/>
      <c r="T11" s="1"/>
      <c r="U11" s="1"/>
      <c r="V11" s="1"/>
      <c r="W11" s="1"/>
      <c r="X11" s="1"/>
      <c r="Y11" s="1"/>
      <c r="Z11" s="1"/>
    </row>
    <row r="12" spans="1:26" ht="28">
      <c r="A12" s="3" t="s">
        <v>72</v>
      </c>
      <c r="B12" s="3" t="s">
        <v>456</v>
      </c>
      <c r="C12" s="3" t="s">
        <v>457</v>
      </c>
      <c r="D12" s="3" t="s">
        <v>458</v>
      </c>
      <c r="E12" s="3" t="s">
        <v>459</v>
      </c>
      <c r="F12" s="3" t="s">
        <v>112</v>
      </c>
      <c r="G12" s="3" t="s">
        <v>460</v>
      </c>
      <c r="H12" s="3" t="s">
        <v>461</v>
      </c>
      <c r="I12" s="3" t="s">
        <v>462</v>
      </c>
      <c r="J12" s="11" t="s">
        <v>86</v>
      </c>
      <c r="K12" s="3" t="s">
        <v>463</v>
      </c>
      <c r="L12" s="1"/>
      <c r="M12" s="1"/>
      <c r="N12" s="1"/>
      <c r="O12" s="1"/>
      <c r="P12" s="1"/>
      <c r="Q12" s="1"/>
      <c r="R12" s="1"/>
      <c r="S12" s="1"/>
      <c r="T12" s="1"/>
      <c r="U12" s="1"/>
      <c r="V12" s="1"/>
      <c r="W12" s="1"/>
      <c r="X12" s="1"/>
      <c r="Y12" s="1"/>
      <c r="Z12" s="1"/>
    </row>
    <row r="13" spans="1:26" ht="28">
      <c r="A13" s="3" t="s">
        <v>72</v>
      </c>
      <c r="B13" s="3" t="s">
        <v>464</v>
      </c>
      <c r="C13" s="3" t="s">
        <v>465</v>
      </c>
      <c r="D13" s="3" t="s">
        <v>466</v>
      </c>
      <c r="E13" s="3" t="s">
        <v>467</v>
      </c>
      <c r="F13" s="3" t="s">
        <v>112</v>
      </c>
      <c r="G13" s="3" t="s">
        <v>468</v>
      </c>
      <c r="H13" s="3" t="s">
        <v>469</v>
      </c>
      <c r="I13" s="3" t="s">
        <v>470</v>
      </c>
      <c r="J13" s="11" t="s">
        <v>471</v>
      </c>
      <c r="K13" s="3" t="s">
        <v>472</v>
      </c>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A1:K1"/>
    <mergeCell ref="A2:K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220"/>
  <sheetViews>
    <sheetView workbookViewId="0">
      <selection sqref="A1:J1"/>
    </sheetView>
  </sheetViews>
  <sheetFormatPr defaultRowHeight="14"/>
  <cols>
    <col min="1" max="1" width="18" customWidth="1"/>
    <col min="2" max="2" width="24" customWidth="1"/>
    <col min="3" max="3" width="64" customWidth="1"/>
    <col min="4" max="4" width="34" customWidth="1"/>
    <col min="5" max="5" width="64" customWidth="1"/>
    <col min="6" max="6" width="38" customWidth="1"/>
    <col min="7" max="7" width="30" customWidth="1"/>
    <col min="8" max="8" width="10" customWidth="1"/>
    <col min="9" max="9" width="68" customWidth="1"/>
    <col min="10" max="10" width="28" customWidth="1"/>
  </cols>
  <sheetData>
    <row r="1" spans="1:26" ht="18.649999999999999" customHeight="1">
      <c r="A1" s="140" t="s">
        <v>473</v>
      </c>
      <c r="B1" s="140"/>
      <c r="C1" s="140"/>
      <c r="D1" s="140"/>
      <c r="E1" s="140"/>
      <c r="F1" s="140"/>
      <c r="G1" s="140"/>
      <c r="H1" s="140"/>
      <c r="I1" s="140"/>
      <c r="J1" s="140"/>
      <c r="K1" s="1"/>
      <c r="L1" s="1"/>
      <c r="M1" s="1"/>
      <c r="N1" s="1"/>
      <c r="O1" s="1"/>
      <c r="P1" s="1"/>
      <c r="Q1" s="1"/>
      <c r="R1" s="1"/>
      <c r="S1" s="1"/>
      <c r="T1" s="1"/>
      <c r="U1" s="1"/>
      <c r="V1" s="1"/>
      <c r="W1" s="1"/>
      <c r="X1" s="1"/>
      <c r="Y1" s="1"/>
      <c r="Z1" s="1"/>
    </row>
    <row r="2" spans="1:26" ht="21.4" customHeight="1">
      <c r="A2" s="141" t="s">
        <v>474</v>
      </c>
      <c r="B2" s="141"/>
      <c r="C2" s="141"/>
      <c r="D2" s="141"/>
      <c r="E2" s="141"/>
      <c r="F2" s="141"/>
      <c r="G2" s="141"/>
      <c r="H2" s="141"/>
      <c r="I2" s="141"/>
      <c r="J2" s="14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0" t="s">
        <v>475</v>
      </c>
      <c r="B4" s="10" t="s">
        <v>476</v>
      </c>
      <c r="C4" s="10" t="s">
        <v>477</v>
      </c>
      <c r="D4" s="10" t="s">
        <v>478</v>
      </c>
      <c r="E4" s="10" t="s">
        <v>479</v>
      </c>
      <c r="F4" s="10" t="s">
        <v>480</v>
      </c>
      <c r="G4" s="10" t="s">
        <v>481</v>
      </c>
      <c r="H4" s="10" t="s">
        <v>308</v>
      </c>
      <c r="I4" s="10" t="s">
        <v>482</v>
      </c>
      <c r="J4" s="10" t="s">
        <v>483</v>
      </c>
      <c r="K4" s="1"/>
      <c r="L4" s="1"/>
      <c r="M4" s="1"/>
      <c r="N4" s="1"/>
      <c r="O4" s="1"/>
      <c r="P4" s="1"/>
      <c r="Q4" s="1"/>
      <c r="R4" s="1"/>
      <c r="S4" s="1"/>
      <c r="T4" s="1"/>
      <c r="U4" s="1"/>
      <c r="V4" s="1"/>
      <c r="W4" s="1"/>
      <c r="X4" s="1"/>
      <c r="Y4" s="1"/>
      <c r="Z4" s="1"/>
    </row>
    <row r="5" spans="1:26" ht="42">
      <c r="A5" s="3" t="s">
        <v>484</v>
      </c>
      <c r="B5" s="3" t="s">
        <v>485</v>
      </c>
      <c r="C5" s="3" t="s">
        <v>486</v>
      </c>
      <c r="D5" s="3" t="s">
        <v>487</v>
      </c>
      <c r="E5" s="3" t="s">
        <v>488</v>
      </c>
      <c r="F5" s="3" t="s">
        <v>489</v>
      </c>
      <c r="G5" s="3" t="s">
        <v>490</v>
      </c>
      <c r="H5" s="11" t="s">
        <v>180</v>
      </c>
      <c r="I5" s="12" t="s">
        <v>491</v>
      </c>
      <c r="J5" s="3" t="s">
        <v>492</v>
      </c>
      <c r="K5" s="1"/>
      <c r="L5" s="1"/>
      <c r="M5" s="1"/>
      <c r="N5" s="1"/>
      <c r="O5" s="1"/>
      <c r="P5" s="1"/>
      <c r="Q5" s="1"/>
      <c r="R5" s="1"/>
      <c r="S5" s="1"/>
      <c r="T5" s="1"/>
      <c r="U5" s="1"/>
      <c r="V5" s="1"/>
      <c r="W5" s="1"/>
      <c r="X5" s="1"/>
      <c r="Y5" s="1"/>
      <c r="Z5" s="1"/>
    </row>
    <row r="6" spans="1:26" ht="28">
      <c r="A6" s="3" t="s">
        <v>484</v>
      </c>
      <c r="B6" s="3" t="s">
        <v>493</v>
      </c>
      <c r="C6" s="3" t="s">
        <v>494</v>
      </c>
      <c r="D6" s="3" t="s">
        <v>495</v>
      </c>
      <c r="E6" s="3" t="s">
        <v>496</v>
      </c>
      <c r="F6" s="3" t="s">
        <v>489</v>
      </c>
      <c r="G6" s="3" t="s">
        <v>490</v>
      </c>
      <c r="H6" s="11" t="s">
        <v>180</v>
      </c>
      <c r="I6" s="12" t="s">
        <v>491</v>
      </c>
      <c r="J6" s="3" t="s">
        <v>492</v>
      </c>
      <c r="K6" s="1"/>
      <c r="L6" s="1"/>
      <c r="M6" s="1"/>
      <c r="N6" s="1"/>
      <c r="O6" s="1"/>
      <c r="P6" s="1"/>
      <c r="Q6" s="1"/>
      <c r="R6" s="1"/>
      <c r="S6" s="1"/>
      <c r="T6" s="1"/>
      <c r="U6" s="1"/>
      <c r="V6" s="1"/>
      <c r="W6" s="1"/>
      <c r="X6" s="1"/>
      <c r="Y6" s="1"/>
      <c r="Z6" s="1"/>
    </row>
    <row r="7" spans="1:26" ht="28">
      <c r="A7" s="3" t="s">
        <v>497</v>
      </c>
      <c r="B7" s="3" t="s">
        <v>498</v>
      </c>
      <c r="C7" s="3" t="s">
        <v>499</v>
      </c>
      <c r="D7" s="3" t="s">
        <v>500</v>
      </c>
      <c r="E7" s="3" t="s">
        <v>501</v>
      </c>
      <c r="F7" s="3" t="s">
        <v>502</v>
      </c>
      <c r="G7" s="3" t="s">
        <v>503</v>
      </c>
      <c r="H7" s="11" t="s">
        <v>179</v>
      </c>
      <c r="I7" s="12" t="s">
        <v>504</v>
      </c>
      <c r="J7" s="3" t="s">
        <v>505</v>
      </c>
      <c r="K7" s="1"/>
      <c r="L7" s="1"/>
      <c r="M7" s="1"/>
      <c r="N7" s="1"/>
      <c r="O7" s="1"/>
      <c r="P7" s="1"/>
      <c r="Q7" s="1"/>
      <c r="R7" s="1"/>
      <c r="S7" s="1"/>
      <c r="T7" s="1"/>
      <c r="U7" s="1"/>
      <c r="V7" s="1"/>
      <c r="W7" s="1"/>
      <c r="X7" s="1"/>
      <c r="Y7" s="1"/>
      <c r="Z7" s="1"/>
    </row>
    <row r="8" spans="1:26" ht="42">
      <c r="A8" s="3" t="s">
        <v>63</v>
      </c>
      <c r="B8" s="3" t="s">
        <v>506</v>
      </c>
      <c r="C8" s="3" t="s">
        <v>507</v>
      </c>
      <c r="D8" s="3" t="s">
        <v>508</v>
      </c>
      <c r="E8" s="3" t="s">
        <v>509</v>
      </c>
      <c r="F8" s="3" t="s">
        <v>510</v>
      </c>
      <c r="G8" s="3" t="s">
        <v>506</v>
      </c>
      <c r="H8" s="11" t="s">
        <v>404</v>
      </c>
      <c r="I8" s="12" t="s">
        <v>511</v>
      </c>
      <c r="J8" s="3" t="s">
        <v>505</v>
      </c>
      <c r="K8" s="1"/>
      <c r="L8" s="1"/>
      <c r="M8" s="1"/>
      <c r="N8" s="1"/>
      <c r="O8" s="1"/>
      <c r="P8" s="1"/>
      <c r="Q8" s="1"/>
      <c r="R8" s="1"/>
      <c r="S8" s="1"/>
      <c r="T8" s="1"/>
      <c r="U8" s="1"/>
      <c r="V8" s="1"/>
      <c r="W8" s="1"/>
      <c r="X8" s="1"/>
      <c r="Y8" s="1"/>
      <c r="Z8" s="1"/>
    </row>
    <row r="9" spans="1:26" ht="28">
      <c r="A9" s="3" t="s">
        <v>63</v>
      </c>
      <c r="B9" s="3" t="s">
        <v>512</v>
      </c>
      <c r="C9" s="3" t="s">
        <v>513</v>
      </c>
      <c r="D9" s="3" t="s">
        <v>514</v>
      </c>
      <c r="E9" s="3" t="s">
        <v>515</v>
      </c>
      <c r="F9" s="3" t="s">
        <v>516</v>
      </c>
      <c r="G9" s="3" t="s">
        <v>517</v>
      </c>
      <c r="H9" s="11" t="s">
        <v>78</v>
      </c>
      <c r="I9" s="12" t="s">
        <v>518</v>
      </c>
      <c r="J9" s="3" t="s">
        <v>505</v>
      </c>
      <c r="K9" s="1"/>
      <c r="L9" s="1"/>
      <c r="M9" s="1"/>
      <c r="N9" s="1"/>
      <c r="O9" s="1"/>
      <c r="P9" s="1"/>
      <c r="Q9" s="1"/>
      <c r="R9" s="1"/>
      <c r="S9" s="1"/>
      <c r="T9" s="1"/>
      <c r="U9" s="1"/>
      <c r="V9" s="1"/>
      <c r="W9" s="1"/>
      <c r="X9" s="1"/>
      <c r="Y9" s="1"/>
      <c r="Z9" s="1"/>
    </row>
    <row r="10" spans="1:26" ht="42">
      <c r="A10" s="3" t="s">
        <v>69</v>
      </c>
      <c r="B10" s="3" t="s">
        <v>519</v>
      </c>
      <c r="C10" s="3" t="s">
        <v>520</v>
      </c>
      <c r="D10" s="3" t="s">
        <v>521</v>
      </c>
      <c r="E10" s="3" t="s">
        <v>522</v>
      </c>
      <c r="F10" s="3" t="s">
        <v>523</v>
      </c>
      <c r="G10" s="3" t="s">
        <v>524</v>
      </c>
      <c r="H10" s="11" t="s">
        <v>446</v>
      </c>
      <c r="I10" s="12" t="s">
        <v>525</v>
      </c>
      <c r="J10" s="3" t="s">
        <v>505</v>
      </c>
      <c r="K10" s="1"/>
      <c r="L10" s="1"/>
      <c r="M10" s="1"/>
      <c r="N10" s="1"/>
      <c r="O10" s="1"/>
      <c r="P10" s="1"/>
      <c r="Q10" s="1"/>
      <c r="R10" s="1"/>
      <c r="S10" s="1"/>
      <c r="T10" s="1"/>
      <c r="U10" s="1"/>
      <c r="V10" s="1"/>
      <c r="W10" s="1"/>
      <c r="X10" s="1"/>
      <c r="Y10" s="1"/>
      <c r="Z10" s="1"/>
    </row>
    <row r="11" spans="1:26" ht="28">
      <c r="A11" s="3" t="s">
        <v>526</v>
      </c>
      <c r="B11" s="3" t="s">
        <v>527</v>
      </c>
      <c r="C11" s="3" t="s">
        <v>528</v>
      </c>
      <c r="D11" s="3" t="s">
        <v>529</v>
      </c>
      <c r="E11" s="3" t="s">
        <v>530</v>
      </c>
      <c r="F11" s="3" t="s">
        <v>531</v>
      </c>
      <c r="G11" s="3" t="s">
        <v>532</v>
      </c>
      <c r="H11" s="11" t="s">
        <v>86</v>
      </c>
      <c r="I11" s="12" t="s">
        <v>533</v>
      </c>
      <c r="J11" s="3" t="s">
        <v>505</v>
      </c>
      <c r="K11" s="1"/>
      <c r="L11" s="1"/>
      <c r="M11" s="1"/>
      <c r="N11" s="1"/>
      <c r="O11" s="1"/>
      <c r="P11" s="1"/>
      <c r="Q11" s="1"/>
      <c r="R11" s="1"/>
      <c r="S11" s="1"/>
      <c r="T11" s="1"/>
      <c r="U11" s="1"/>
      <c r="V11" s="1"/>
      <c r="W11" s="1"/>
      <c r="X11" s="1"/>
      <c r="Y11" s="1"/>
      <c r="Z11" s="1"/>
    </row>
    <row r="12" spans="1:26" ht="42">
      <c r="A12" s="3" t="s">
        <v>70</v>
      </c>
      <c r="B12" s="3" t="s">
        <v>534</v>
      </c>
      <c r="C12" s="3" t="s">
        <v>535</v>
      </c>
      <c r="D12" s="3" t="s">
        <v>536</v>
      </c>
      <c r="E12" s="3" t="s">
        <v>537</v>
      </c>
      <c r="F12" s="3" t="s">
        <v>538</v>
      </c>
      <c r="G12" s="3" t="s">
        <v>539</v>
      </c>
      <c r="H12" s="11" t="s">
        <v>179</v>
      </c>
      <c r="I12" s="12" t="s">
        <v>504</v>
      </c>
      <c r="J12" s="3" t="s">
        <v>505</v>
      </c>
      <c r="K12" s="1"/>
      <c r="L12" s="1"/>
      <c r="M12" s="1"/>
      <c r="N12" s="1"/>
      <c r="O12" s="1"/>
      <c r="P12" s="1"/>
      <c r="Q12" s="1"/>
      <c r="R12" s="1"/>
      <c r="S12" s="1"/>
      <c r="T12" s="1"/>
      <c r="U12" s="1"/>
      <c r="V12" s="1"/>
      <c r="W12" s="1"/>
      <c r="X12" s="1"/>
      <c r="Y12" s="1"/>
      <c r="Z12" s="1"/>
    </row>
    <row r="13" spans="1:26" ht="28">
      <c r="A13" s="3" t="s">
        <v>70</v>
      </c>
      <c r="B13" s="3" t="s">
        <v>540</v>
      </c>
      <c r="C13" s="3" t="s">
        <v>541</v>
      </c>
      <c r="D13" s="3" t="s">
        <v>542</v>
      </c>
      <c r="E13" s="3" t="s">
        <v>543</v>
      </c>
      <c r="F13" s="3" t="s">
        <v>538</v>
      </c>
      <c r="G13" s="3" t="s">
        <v>544</v>
      </c>
      <c r="H13" s="11" t="s">
        <v>179</v>
      </c>
      <c r="I13" s="12" t="s">
        <v>504</v>
      </c>
      <c r="J13" s="3" t="s">
        <v>505</v>
      </c>
      <c r="K13" s="1"/>
      <c r="L13" s="1"/>
      <c r="M13" s="1"/>
      <c r="N13" s="1"/>
      <c r="O13" s="1"/>
      <c r="P13" s="1"/>
      <c r="Q13" s="1"/>
      <c r="R13" s="1"/>
      <c r="S13" s="1"/>
      <c r="T13" s="1"/>
      <c r="U13" s="1"/>
      <c r="V13" s="1"/>
      <c r="W13" s="1"/>
      <c r="X13" s="1"/>
      <c r="Y13" s="1"/>
      <c r="Z13" s="1"/>
    </row>
    <row r="14" spans="1:26" ht="28">
      <c r="A14" s="3" t="s">
        <v>72</v>
      </c>
      <c r="B14" s="3" t="s">
        <v>545</v>
      </c>
      <c r="C14" s="3" t="s">
        <v>546</v>
      </c>
      <c r="D14" s="3" t="s">
        <v>547</v>
      </c>
      <c r="E14" s="3" t="s">
        <v>548</v>
      </c>
      <c r="F14" s="3" t="s">
        <v>531</v>
      </c>
      <c r="G14" s="3" t="s">
        <v>549</v>
      </c>
      <c r="H14" s="11" t="s">
        <v>86</v>
      </c>
      <c r="I14" s="12" t="s">
        <v>533</v>
      </c>
      <c r="J14" s="3" t="s">
        <v>505</v>
      </c>
      <c r="K14" s="1"/>
      <c r="L14" s="1"/>
      <c r="M14" s="1"/>
      <c r="N14" s="1"/>
      <c r="O14" s="1"/>
      <c r="P14" s="1"/>
      <c r="Q14" s="1"/>
      <c r="R14" s="1"/>
      <c r="S14" s="1"/>
      <c r="T14" s="1"/>
      <c r="U14" s="1"/>
      <c r="V14" s="1"/>
      <c r="W14" s="1"/>
      <c r="X14" s="1"/>
      <c r="Y14" s="1"/>
      <c r="Z14" s="1"/>
    </row>
    <row r="15" spans="1:26" ht="28">
      <c r="A15" s="3" t="s">
        <v>72</v>
      </c>
      <c r="B15" s="3" t="s">
        <v>550</v>
      </c>
      <c r="C15" s="3" t="s">
        <v>551</v>
      </c>
      <c r="D15" s="3" t="s">
        <v>552</v>
      </c>
      <c r="E15" s="3" t="s">
        <v>553</v>
      </c>
      <c r="F15" s="3" t="s">
        <v>531</v>
      </c>
      <c r="G15" s="3" t="s">
        <v>554</v>
      </c>
      <c r="H15" s="11" t="s">
        <v>86</v>
      </c>
      <c r="I15" s="12" t="s">
        <v>533</v>
      </c>
      <c r="J15" s="3" t="s">
        <v>555</v>
      </c>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A1:J1"/>
    <mergeCell ref="A2:J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20"/>
  <sheetViews>
    <sheetView workbookViewId="0">
      <selection sqref="A1:I1"/>
    </sheetView>
  </sheetViews>
  <sheetFormatPr defaultRowHeight="14"/>
  <cols>
    <col min="1" max="1" width="10" customWidth="1"/>
    <col min="2" max="2" width="46" customWidth="1"/>
    <col min="3" max="3" width="36" customWidth="1"/>
    <col min="4" max="5" width="18" customWidth="1"/>
    <col min="6" max="6" width="76" customWidth="1"/>
    <col min="7" max="7" width="30" customWidth="1"/>
    <col min="8" max="8" width="42" customWidth="1"/>
    <col min="9" max="9" width="60" customWidth="1"/>
  </cols>
  <sheetData>
    <row r="1" spans="1:26" ht="18.649999999999999" customHeight="1">
      <c r="A1" s="140" t="s">
        <v>556</v>
      </c>
      <c r="B1" s="140"/>
      <c r="C1" s="140"/>
      <c r="D1" s="140"/>
      <c r="E1" s="140"/>
      <c r="F1" s="140"/>
      <c r="G1" s="140"/>
      <c r="H1" s="140"/>
      <c r="I1" s="140"/>
      <c r="J1" s="1"/>
      <c r="K1" s="1"/>
      <c r="L1" s="1"/>
      <c r="M1" s="1"/>
      <c r="N1" s="1"/>
      <c r="O1" s="1"/>
      <c r="P1" s="1"/>
      <c r="Q1" s="1"/>
      <c r="R1" s="1"/>
      <c r="S1" s="1"/>
      <c r="T1" s="1"/>
      <c r="U1" s="1"/>
      <c r="V1" s="1"/>
      <c r="W1" s="1"/>
      <c r="X1" s="1"/>
      <c r="Y1" s="1"/>
      <c r="Z1" s="1"/>
    </row>
    <row r="2" spans="1:26" ht="21.4" customHeight="1">
      <c r="A2" s="141" t="s">
        <v>557</v>
      </c>
      <c r="B2" s="141"/>
      <c r="C2" s="141"/>
      <c r="D2" s="141"/>
      <c r="E2" s="141"/>
      <c r="F2" s="141"/>
      <c r="G2" s="141"/>
      <c r="H2" s="141"/>
      <c r="I2" s="14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0" t="s">
        <v>308</v>
      </c>
      <c r="B4" s="10" t="s">
        <v>558</v>
      </c>
      <c r="C4" s="10" t="s">
        <v>559</v>
      </c>
      <c r="D4" s="10" t="s">
        <v>560</v>
      </c>
      <c r="E4" s="10" t="s">
        <v>561</v>
      </c>
      <c r="F4" s="10" t="s">
        <v>482</v>
      </c>
      <c r="G4" s="10" t="s">
        <v>562</v>
      </c>
      <c r="H4" s="10" t="s">
        <v>563</v>
      </c>
      <c r="I4" s="10" t="s">
        <v>564</v>
      </c>
      <c r="J4" s="1"/>
      <c r="K4" s="1"/>
      <c r="L4" s="1"/>
      <c r="M4" s="1"/>
      <c r="N4" s="1"/>
      <c r="O4" s="1"/>
      <c r="P4" s="1"/>
      <c r="Q4" s="1"/>
      <c r="R4" s="1"/>
      <c r="S4" s="1"/>
      <c r="T4" s="1"/>
      <c r="U4" s="1"/>
      <c r="V4" s="1"/>
      <c r="W4" s="1"/>
      <c r="X4" s="1"/>
      <c r="Y4" s="1"/>
      <c r="Z4" s="1"/>
    </row>
    <row r="5" spans="1:26">
      <c r="A5" s="13" t="s">
        <v>422</v>
      </c>
      <c r="B5" s="3" t="s">
        <v>565</v>
      </c>
      <c r="C5" s="3" t="s">
        <v>566</v>
      </c>
      <c r="D5" s="3" t="s">
        <v>567</v>
      </c>
      <c r="E5" s="3" t="s">
        <v>568</v>
      </c>
      <c r="F5" s="12" t="s">
        <v>569</v>
      </c>
      <c r="G5" s="3" t="s">
        <v>570</v>
      </c>
      <c r="H5" s="3" t="s">
        <v>571</v>
      </c>
      <c r="I5" s="3" t="s">
        <v>572</v>
      </c>
      <c r="J5" s="1"/>
      <c r="K5" s="1"/>
      <c r="L5" s="1"/>
      <c r="M5" s="1"/>
      <c r="N5" s="1"/>
      <c r="O5" s="1"/>
      <c r="P5" s="1"/>
      <c r="Q5" s="1"/>
      <c r="R5" s="1"/>
      <c r="S5" s="1"/>
      <c r="T5" s="1"/>
      <c r="U5" s="1"/>
      <c r="V5" s="1"/>
      <c r="W5" s="1"/>
      <c r="X5" s="1"/>
      <c r="Y5" s="1"/>
      <c r="Z5" s="1"/>
    </row>
    <row r="6" spans="1:26" ht="42">
      <c r="A6" s="13" t="s">
        <v>77</v>
      </c>
      <c r="B6" s="3" t="s">
        <v>573</v>
      </c>
      <c r="C6" s="3" t="s">
        <v>574</v>
      </c>
      <c r="D6" s="3" t="s">
        <v>575</v>
      </c>
      <c r="E6" s="3" t="s">
        <v>576</v>
      </c>
      <c r="F6" s="12" t="s">
        <v>577</v>
      </c>
      <c r="G6" s="3" t="s">
        <v>578</v>
      </c>
      <c r="H6" s="3" t="s">
        <v>579</v>
      </c>
      <c r="I6" s="3" t="s">
        <v>580</v>
      </c>
      <c r="J6" s="1"/>
      <c r="K6" s="1"/>
      <c r="L6" s="1"/>
      <c r="M6" s="1"/>
      <c r="N6" s="1"/>
      <c r="O6" s="1"/>
      <c r="P6" s="1"/>
      <c r="Q6" s="1"/>
      <c r="R6" s="1"/>
      <c r="S6" s="1"/>
      <c r="T6" s="1"/>
      <c r="U6" s="1"/>
      <c r="V6" s="1"/>
      <c r="W6" s="1"/>
      <c r="X6" s="1"/>
      <c r="Y6" s="1"/>
      <c r="Z6" s="1"/>
    </row>
    <row r="7" spans="1:26" ht="42">
      <c r="A7" s="13" t="s">
        <v>78</v>
      </c>
      <c r="B7" s="3" t="s">
        <v>375</v>
      </c>
      <c r="C7" s="3" t="s">
        <v>574</v>
      </c>
      <c r="D7" s="3" t="s">
        <v>581</v>
      </c>
      <c r="E7" s="3" t="s">
        <v>582</v>
      </c>
      <c r="F7" s="12" t="s">
        <v>583</v>
      </c>
      <c r="G7" s="3" t="s">
        <v>578</v>
      </c>
      <c r="H7" s="3" t="s">
        <v>584</v>
      </c>
      <c r="I7" s="3" t="s">
        <v>585</v>
      </c>
      <c r="J7" s="1"/>
      <c r="K7" s="1"/>
      <c r="L7" s="1"/>
      <c r="M7" s="1"/>
      <c r="N7" s="1"/>
      <c r="O7" s="1"/>
      <c r="P7" s="1"/>
      <c r="Q7" s="1"/>
      <c r="R7" s="1"/>
      <c r="S7" s="1"/>
      <c r="T7" s="1"/>
      <c r="U7" s="1"/>
      <c r="V7" s="1"/>
      <c r="W7" s="1"/>
      <c r="X7" s="1"/>
      <c r="Y7" s="1"/>
      <c r="Z7" s="1"/>
    </row>
    <row r="8" spans="1:26" ht="28">
      <c r="A8" s="13" t="s">
        <v>100</v>
      </c>
      <c r="B8" s="3" t="s">
        <v>586</v>
      </c>
      <c r="C8" s="3" t="s">
        <v>587</v>
      </c>
      <c r="D8" s="3" t="s">
        <v>588</v>
      </c>
      <c r="E8" s="3" t="s">
        <v>589</v>
      </c>
      <c r="F8" s="12" t="s">
        <v>590</v>
      </c>
      <c r="G8" s="3" t="s">
        <v>591</v>
      </c>
      <c r="H8" s="3" t="s">
        <v>592</v>
      </c>
      <c r="I8" s="3" t="s">
        <v>593</v>
      </c>
      <c r="J8" s="1"/>
      <c r="K8" s="1"/>
      <c r="L8" s="1"/>
      <c r="M8" s="1"/>
      <c r="N8" s="1"/>
      <c r="O8" s="1"/>
      <c r="P8" s="1"/>
      <c r="Q8" s="1"/>
      <c r="R8" s="1"/>
      <c r="S8" s="1"/>
      <c r="T8" s="1"/>
      <c r="U8" s="1"/>
      <c r="V8" s="1"/>
      <c r="W8" s="1"/>
      <c r="X8" s="1"/>
      <c r="Y8" s="1"/>
      <c r="Z8" s="1"/>
    </row>
    <row r="9" spans="1:26" ht="28">
      <c r="A9" s="13" t="s">
        <v>79</v>
      </c>
      <c r="B9" s="3" t="s">
        <v>594</v>
      </c>
      <c r="C9" s="3" t="s">
        <v>595</v>
      </c>
      <c r="D9" s="3" t="s">
        <v>65</v>
      </c>
      <c r="E9" s="3" t="s">
        <v>596</v>
      </c>
      <c r="F9" s="12" t="s">
        <v>597</v>
      </c>
      <c r="G9" s="3" t="s">
        <v>578</v>
      </c>
      <c r="H9" s="3" t="s">
        <v>598</v>
      </c>
      <c r="I9" s="3" t="s">
        <v>599</v>
      </c>
      <c r="J9" s="1"/>
      <c r="K9" s="1"/>
      <c r="L9" s="1"/>
      <c r="M9" s="1"/>
      <c r="N9" s="1"/>
      <c r="O9" s="1"/>
      <c r="P9" s="1"/>
      <c r="Q9" s="1"/>
      <c r="R9" s="1"/>
      <c r="S9" s="1"/>
      <c r="T9" s="1"/>
      <c r="U9" s="1"/>
      <c r="V9" s="1"/>
      <c r="W9" s="1"/>
      <c r="X9" s="1"/>
      <c r="Y9" s="1"/>
      <c r="Z9" s="1"/>
    </row>
    <row r="10" spans="1:26" ht="28">
      <c r="A10" s="13" t="s">
        <v>80</v>
      </c>
      <c r="B10" s="3" t="s">
        <v>600</v>
      </c>
      <c r="C10" s="3" t="s">
        <v>601</v>
      </c>
      <c r="D10" s="3" t="s">
        <v>66</v>
      </c>
      <c r="E10" s="3" t="s">
        <v>602</v>
      </c>
      <c r="F10" s="12" t="s">
        <v>603</v>
      </c>
      <c r="G10" s="3" t="s">
        <v>604</v>
      </c>
      <c r="H10" s="3" t="s">
        <v>605</v>
      </c>
      <c r="I10" s="3" t="s">
        <v>606</v>
      </c>
      <c r="J10" s="1"/>
      <c r="K10" s="1"/>
      <c r="L10" s="1"/>
      <c r="M10" s="1"/>
      <c r="N10" s="1"/>
      <c r="O10" s="1"/>
      <c r="P10" s="1"/>
      <c r="Q10" s="1"/>
      <c r="R10" s="1"/>
      <c r="S10" s="1"/>
      <c r="T10" s="1"/>
      <c r="U10" s="1"/>
      <c r="V10" s="1"/>
      <c r="W10" s="1"/>
      <c r="X10" s="1"/>
      <c r="Y10" s="1"/>
      <c r="Z10" s="1"/>
    </row>
    <row r="11" spans="1:26" ht="28">
      <c r="A11" s="13" t="s">
        <v>81</v>
      </c>
      <c r="B11" s="3" t="s">
        <v>381</v>
      </c>
      <c r="C11" s="3" t="s">
        <v>595</v>
      </c>
      <c r="D11" s="3" t="s">
        <v>67</v>
      </c>
      <c r="E11" s="3" t="s">
        <v>607</v>
      </c>
      <c r="F11" s="12" t="s">
        <v>608</v>
      </c>
      <c r="G11" s="3" t="s">
        <v>578</v>
      </c>
      <c r="H11" s="3" t="s">
        <v>609</v>
      </c>
      <c r="I11" s="3" t="s">
        <v>610</v>
      </c>
      <c r="J11" s="1"/>
      <c r="K11" s="1"/>
      <c r="L11" s="1"/>
      <c r="M11" s="1"/>
      <c r="N11" s="1"/>
      <c r="O11" s="1"/>
      <c r="P11" s="1"/>
      <c r="Q11" s="1"/>
      <c r="R11" s="1"/>
      <c r="S11" s="1"/>
      <c r="T11" s="1"/>
      <c r="U11" s="1"/>
      <c r="V11" s="1"/>
      <c r="W11" s="1"/>
      <c r="X11" s="1"/>
      <c r="Y11" s="1"/>
      <c r="Z11" s="1"/>
    </row>
    <row r="12" spans="1:26" ht="28">
      <c r="A12" s="13" t="s">
        <v>82</v>
      </c>
      <c r="B12" s="3" t="s">
        <v>611</v>
      </c>
      <c r="C12" s="3" t="s">
        <v>595</v>
      </c>
      <c r="D12" s="3" t="s">
        <v>68</v>
      </c>
      <c r="E12" s="3" t="s">
        <v>589</v>
      </c>
      <c r="F12" s="12" t="s">
        <v>612</v>
      </c>
      <c r="G12" s="3" t="s">
        <v>578</v>
      </c>
      <c r="H12" s="3" t="s">
        <v>609</v>
      </c>
      <c r="I12" s="3" t="s">
        <v>613</v>
      </c>
      <c r="J12" s="1"/>
      <c r="K12" s="1"/>
      <c r="L12" s="1"/>
      <c r="M12" s="1"/>
      <c r="N12" s="1"/>
      <c r="O12" s="1"/>
      <c r="P12" s="1"/>
      <c r="Q12" s="1"/>
      <c r="R12" s="1"/>
      <c r="S12" s="1"/>
      <c r="T12" s="1"/>
      <c r="U12" s="1"/>
      <c r="V12" s="1"/>
      <c r="W12" s="1"/>
      <c r="X12" s="1"/>
      <c r="Y12" s="1"/>
      <c r="Z12" s="1"/>
    </row>
    <row r="13" spans="1:26" ht="28">
      <c r="A13" s="13" t="s">
        <v>83</v>
      </c>
      <c r="B13" s="3" t="s">
        <v>614</v>
      </c>
      <c r="C13" s="3" t="s">
        <v>601</v>
      </c>
      <c r="D13" s="3" t="s">
        <v>69</v>
      </c>
      <c r="E13" s="3" t="s">
        <v>615</v>
      </c>
      <c r="F13" s="12" t="s">
        <v>616</v>
      </c>
      <c r="G13" s="3" t="s">
        <v>604</v>
      </c>
      <c r="H13" s="3" t="s">
        <v>605</v>
      </c>
      <c r="I13" s="3" t="s">
        <v>617</v>
      </c>
      <c r="J13" s="1"/>
      <c r="K13" s="1"/>
      <c r="L13" s="1"/>
      <c r="M13" s="1"/>
      <c r="N13" s="1"/>
      <c r="O13" s="1"/>
      <c r="P13" s="1"/>
      <c r="Q13" s="1"/>
      <c r="R13" s="1"/>
      <c r="S13" s="1"/>
      <c r="T13" s="1"/>
      <c r="U13" s="1"/>
      <c r="V13" s="1"/>
      <c r="W13" s="1"/>
      <c r="X13" s="1"/>
      <c r="Y13" s="1"/>
      <c r="Z13" s="1"/>
    </row>
    <row r="14" spans="1:26" ht="28">
      <c r="A14" s="13" t="s">
        <v>84</v>
      </c>
      <c r="B14" s="3" t="s">
        <v>618</v>
      </c>
      <c r="C14" s="3" t="s">
        <v>601</v>
      </c>
      <c r="D14" s="3" t="s">
        <v>70</v>
      </c>
      <c r="E14" s="3" t="s">
        <v>619</v>
      </c>
      <c r="F14" s="12" t="s">
        <v>620</v>
      </c>
      <c r="G14" s="3" t="s">
        <v>604</v>
      </c>
      <c r="H14" s="3" t="s">
        <v>605</v>
      </c>
      <c r="I14" s="3" t="s">
        <v>621</v>
      </c>
      <c r="J14" s="1"/>
      <c r="K14" s="1"/>
      <c r="L14" s="1"/>
      <c r="M14" s="1"/>
      <c r="N14" s="1"/>
      <c r="O14" s="1"/>
      <c r="P14" s="1"/>
      <c r="Q14" s="1"/>
      <c r="R14" s="1"/>
      <c r="S14" s="1"/>
      <c r="T14" s="1"/>
      <c r="U14" s="1"/>
      <c r="V14" s="1"/>
      <c r="W14" s="1"/>
      <c r="X14" s="1"/>
      <c r="Y14" s="1"/>
      <c r="Z14" s="1"/>
    </row>
    <row r="15" spans="1:26" ht="28">
      <c r="A15" s="13" t="s">
        <v>85</v>
      </c>
      <c r="B15" s="3" t="s">
        <v>622</v>
      </c>
      <c r="C15" s="3" t="s">
        <v>601</v>
      </c>
      <c r="D15" s="3" t="s">
        <v>71</v>
      </c>
      <c r="E15" s="3" t="s">
        <v>623</v>
      </c>
      <c r="F15" s="12" t="s">
        <v>624</v>
      </c>
      <c r="G15" s="3" t="s">
        <v>604</v>
      </c>
      <c r="H15" s="3" t="s">
        <v>625</v>
      </c>
      <c r="I15" s="3" t="s">
        <v>626</v>
      </c>
      <c r="J15" s="1"/>
      <c r="K15" s="1"/>
      <c r="L15" s="1"/>
      <c r="M15" s="1"/>
      <c r="N15" s="1"/>
      <c r="O15" s="1"/>
      <c r="P15" s="1"/>
      <c r="Q15" s="1"/>
      <c r="R15" s="1"/>
      <c r="S15" s="1"/>
      <c r="T15" s="1"/>
      <c r="U15" s="1"/>
      <c r="V15" s="1"/>
      <c r="W15" s="1"/>
      <c r="X15" s="1"/>
      <c r="Y15" s="1"/>
      <c r="Z15" s="1"/>
    </row>
    <row r="16" spans="1:26" ht="28">
      <c r="A16" s="13" t="s">
        <v>179</v>
      </c>
      <c r="B16" s="3" t="s">
        <v>627</v>
      </c>
      <c r="C16" s="3" t="s">
        <v>628</v>
      </c>
      <c r="D16" s="3" t="s">
        <v>526</v>
      </c>
      <c r="E16" s="3" t="s">
        <v>619</v>
      </c>
      <c r="F16" s="12" t="s">
        <v>504</v>
      </c>
      <c r="G16" s="3" t="s">
        <v>578</v>
      </c>
      <c r="H16" s="3" t="s">
        <v>629</v>
      </c>
      <c r="I16" s="3" t="s">
        <v>630</v>
      </c>
      <c r="J16" s="1"/>
      <c r="K16" s="1"/>
      <c r="L16" s="1"/>
      <c r="M16" s="1"/>
      <c r="N16" s="1"/>
      <c r="O16" s="1"/>
      <c r="P16" s="1"/>
      <c r="Q16" s="1"/>
      <c r="R16" s="1"/>
      <c r="S16" s="1"/>
      <c r="T16" s="1"/>
      <c r="U16" s="1"/>
      <c r="V16" s="1"/>
      <c r="W16" s="1"/>
      <c r="X16" s="1"/>
      <c r="Y16" s="1"/>
      <c r="Z16" s="1"/>
    </row>
    <row r="17" spans="1:26" ht="28">
      <c r="A17" s="13" t="s">
        <v>86</v>
      </c>
      <c r="B17" s="3" t="s">
        <v>531</v>
      </c>
      <c r="C17" s="3" t="s">
        <v>631</v>
      </c>
      <c r="D17" s="3" t="s">
        <v>72</v>
      </c>
      <c r="E17" s="3" t="s">
        <v>632</v>
      </c>
      <c r="F17" s="12" t="s">
        <v>533</v>
      </c>
      <c r="G17" s="3" t="s">
        <v>633</v>
      </c>
      <c r="H17" s="3" t="s">
        <v>634</v>
      </c>
      <c r="I17" s="3" t="s">
        <v>635</v>
      </c>
      <c r="J17" s="1"/>
      <c r="K17" s="1"/>
      <c r="L17" s="1"/>
      <c r="M17" s="1"/>
      <c r="N17" s="1"/>
      <c r="O17" s="1"/>
      <c r="P17" s="1"/>
      <c r="Q17" s="1"/>
      <c r="R17" s="1"/>
      <c r="S17" s="1"/>
      <c r="T17" s="1"/>
      <c r="U17" s="1"/>
      <c r="V17" s="1"/>
      <c r="W17" s="1"/>
      <c r="X17" s="1"/>
      <c r="Y17" s="1"/>
      <c r="Z17" s="1"/>
    </row>
    <row r="18" spans="1:26">
      <c r="A18" s="13" t="s">
        <v>636</v>
      </c>
      <c r="B18" s="3" t="s">
        <v>637</v>
      </c>
      <c r="C18" s="3" t="s">
        <v>638</v>
      </c>
      <c r="D18" s="3" t="s">
        <v>72</v>
      </c>
      <c r="E18" s="3" t="s">
        <v>632</v>
      </c>
      <c r="F18" s="12" t="s">
        <v>639</v>
      </c>
      <c r="G18" s="3" t="s">
        <v>570</v>
      </c>
      <c r="H18" s="3" t="s">
        <v>640</v>
      </c>
      <c r="I18" s="3" t="s">
        <v>641</v>
      </c>
      <c r="J18" s="1"/>
      <c r="K18" s="1"/>
      <c r="L18" s="1"/>
      <c r="M18" s="1"/>
      <c r="N18" s="1"/>
      <c r="O18" s="1"/>
      <c r="P18" s="1"/>
      <c r="Q18" s="1"/>
      <c r="R18" s="1"/>
      <c r="S18" s="1"/>
      <c r="T18" s="1"/>
      <c r="U18" s="1"/>
      <c r="V18" s="1"/>
      <c r="W18" s="1"/>
      <c r="X18" s="1"/>
      <c r="Y18" s="1"/>
      <c r="Z18" s="1"/>
    </row>
    <row r="19" spans="1:26" ht="28">
      <c r="A19" s="13" t="s">
        <v>413</v>
      </c>
      <c r="B19" s="3" t="s">
        <v>642</v>
      </c>
      <c r="C19" s="3" t="s">
        <v>643</v>
      </c>
      <c r="D19" s="3" t="s">
        <v>63</v>
      </c>
      <c r="E19" s="3" t="s">
        <v>644</v>
      </c>
      <c r="F19" s="12" t="s">
        <v>645</v>
      </c>
      <c r="G19" s="3" t="s">
        <v>646</v>
      </c>
      <c r="H19" s="3" t="s">
        <v>647</v>
      </c>
      <c r="I19" s="3" t="s">
        <v>648</v>
      </c>
      <c r="J19" s="1"/>
      <c r="K19" s="1"/>
      <c r="L19" s="1"/>
      <c r="M19" s="1"/>
      <c r="N19" s="1"/>
      <c r="O19" s="1"/>
      <c r="P19" s="1"/>
      <c r="Q19" s="1"/>
      <c r="R19" s="1"/>
      <c r="S19" s="1"/>
      <c r="T19" s="1"/>
      <c r="U19" s="1"/>
      <c r="V19" s="1"/>
      <c r="W19" s="1"/>
      <c r="X19" s="1"/>
      <c r="Y19" s="1"/>
      <c r="Z19" s="1"/>
    </row>
    <row r="20" spans="1:26" ht="42">
      <c r="A20" s="13" t="s">
        <v>404</v>
      </c>
      <c r="B20" s="3" t="s">
        <v>649</v>
      </c>
      <c r="C20" s="3" t="s">
        <v>650</v>
      </c>
      <c r="D20" s="3" t="s">
        <v>63</v>
      </c>
      <c r="E20" s="3" t="s">
        <v>651</v>
      </c>
      <c r="F20" s="12" t="s">
        <v>511</v>
      </c>
      <c r="G20" s="3" t="s">
        <v>604</v>
      </c>
      <c r="H20" s="3" t="s">
        <v>652</v>
      </c>
      <c r="I20" s="3" t="s">
        <v>653</v>
      </c>
      <c r="J20" s="1"/>
      <c r="K20" s="1"/>
      <c r="L20" s="1"/>
      <c r="M20" s="1"/>
      <c r="N20" s="1"/>
      <c r="O20" s="1"/>
      <c r="P20" s="1"/>
      <c r="Q20" s="1"/>
      <c r="R20" s="1"/>
      <c r="S20" s="1"/>
      <c r="T20" s="1"/>
      <c r="U20" s="1"/>
      <c r="V20" s="1"/>
      <c r="W20" s="1"/>
      <c r="X20" s="1"/>
      <c r="Y20" s="1"/>
      <c r="Z20" s="1"/>
    </row>
    <row r="21" spans="1:26" ht="28">
      <c r="A21" s="13" t="s">
        <v>446</v>
      </c>
      <c r="B21" s="3" t="s">
        <v>654</v>
      </c>
      <c r="C21" s="3" t="s">
        <v>655</v>
      </c>
      <c r="D21" s="3" t="s">
        <v>526</v>
      </c>
      <c r="E21" s="3" t="s">
        <v>615</v>
      </c>
      <c r="F21" s="12" t="s">
        <v>525</v>
      </c>
      <c r="G21" s="3" t="s">
        <v>656</v>
      </c>
      <c r="H21" s="3" t="s">
        <v>657</v>
      </c>
      <c r="I21" s="3" t="s">
        <v>658</v>
      </c>
      <c r="J21" s="1"/>
      <c r="K21" s="1"/>
      <c r="L21" s="1"/>
      <c r="M21" s="1"/>
      <c r="N21" s="1"/>
      <c r="O21" s="1"/>
      <c r="P21" s="1"/>
      <c r="Q21" s="1"/>
      <c r="R21" s="1"/>
      <c r="S21" s="1"/>
      <c r="T21" s="1"/>
      <c r="U21" s="1"/>
      <c r="V21" s="1"/>
      <c r="W21" s="1"/>
      <c r="X21" s="1"/>
      <c r="Y21" s="1"/>
      <c r="Z21" s="1"/>
    </row>
    <row r="22" spans="1:26">
      <c r="A22" s="13" t="s">
        <v>471</v>
      </c>
      <c r="B22" s="3" t="s">
        <v>659</v>
      </c>
      <c r="C22" s="3" t="s">
        <v>660</v>
      </c>
      <c r="D22" s="3" t="s">
        <v>72</v>
      </c>
      <c r="E22" s="3" t="s">
        <v>661</v>
      </c>
      <c r="F22" s="12" t="s">
        <v>662</v>
      </c>
      <c r="G22" s="3" t="s">
        <v>663</v>
      </c>
      <c r="H22" s="3" t="s">
        <v>664</v>
      </c>
      <c r="I22" s="3" t="s">
        <v>665</v>
      </c>
      <c r="J22" s="1"/>
      <c r="K22" s="1"/>
      <c r="L22" s="1"/>
      <c r="M22" s="1"/>
      <c r="N22" s="1"/>
      <c r="O22" s="1"/>
      <c r="P22" s="1"/>
      <c r="Q22" s="1"/>
      <c r="R22" s="1"/>
      <c r="S22" s="1"/>
      <c r="T22" s="1"/>
      <c r="U22" s="1"/>
      <c r="V22" s="1"/>
      <c r="W22" s="1"/>
      <c r="X22" s="1"/>
      <c r="Y22" s="1"/>
      <c r="Z22" s="1"/>
    </row>
    <row r="23" spans="1:26" ht="28">
      <c r="A23" s="13" t="s">
        <v>223</v>
      </c>
      <c r="B23" s="3" t="s">
        <v>666</v>
      </c>
      <c r="C23" s="3" t="s">
        <v>667</v>
      </c>
      <c r="D23" s="3" t="s">
        <v>71</v>
      </c>
      <c r="E23" s="3" t="s">
        <v>623</v>
      </c>
      <c r="F23" s="12" t="s">
        <v>668</v>
      </c>
      <c r="G23" s="3" t="s">
        <v>669</v>
      </c>
      <c r="H23" s="3" t="s">
        <v>554</v>
      </c>
      <c r="I23" s="3" t="s">
        <v>670</v>
      </c>
      <c r="J23" s="1"/>
      <c r="K23" s="1"/>
      <c r="L23" s="1"/>
      <c r="M23" s="1"/>
      <c r="N23" s="1"/>
      <c r="O23" s="1"/>
      <c r="P23" s="1"/>
      <c r="Q23" s="1"/>
      <c r="R23" s="1"/>
      <c r="S23" s="1"/>
      <c r="T23" s="1"/>
      <c r="U23" s="1"/>
      <c r="V23" s="1"/>
      <c r="W23" s="1"/>
      <c r="X23" s="1"/>
      <c r="Y23" s="1"/>
      <c r="Z23" s="1"/>
    </row>
    <row r="24" spans="1:26" ht="28">
      <c r="A24" s="13" t="s">
        <v>180</v>
      </c>
      <c r="B24" s="3" t="s">
        <v>671</v>
      </c>
      <c r="C24" s="3" t="s">
        <v>672</v>
      </c>
      <c r="D24" s="3" t="s">
        <v>71</v>
      </c>
      <c r="E24" s="3" t="s">
        <v>623</v>
      </c>
      <c r="F24" s="12" t="s">
        <v>491</v>
      </c>
      <c r="G24" s="3" t="s">
        <v>673</v>
      </c>
      <c r="H24" s="3" t="s">
        <v>674</v>
      </c>
      <c r="I24" s="3" t="s">
        <v>675</v>
      </c>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A1:I1"/>
    <mergeCell ref="A2:I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20"/>
  <sheetViews>
    <sheetView workbookViewId="0">
      <selection sqref="A1:G1"/>
    </sheetView>
  </sheetViews>
  <sheetFormatPr defaultRowHeight="14"/>
  <cols>
    <col min="1" max="1" width="38" customWidth="1"/>
    <col min="2" max="2" width="36" customWidth="1"/>
    <col min="3" max="3" width="20" customWidth="1"/>
    <col min="4" max="6" width="64" customWidth="1"/>
    <col min="7" max="7" width="10" customWidth="1"/>
  </cols>
  <sheetData>
    <row r="1" spans="1:26" ht="18.649999999999999" customHeight="1">
      <c r="A1" s="140" t="s">
        <v>676</v>
      </c>
      <c r="B1" s="140"/>
      <c r="C1" s="140"/>
      <c r="D1" s="140"/>
      <c r="E1" s="140"/>
      <c r="F1" s="140"/>
      <c r="G1" s="140"/>
      <c r="H1" s="1"/>
      <c r="I1" s="1"/>
      <c r="J1" s="1"/>
      <c r="K1" s="1"/>
      <c r="L1" s="1"/>
      <c r="M1" s="1"/>
      <c r="N1" s="1"/>
      <c r="O1" s="1"/>
      <c r="P1" s="1"/>
      <c r="Q1" s="1"/>
      <c r="R1" s="1"/>
      <c r="S1" s="1"/>
      <c r="T1" s="1"/>
      <c r="U1" s="1"/>
      <c r="V1" s="1"/>
      <c r="W1" s="1"/>
      <c r="X1" s="1"/>
      <c r="Y1" s="1"/>
      <c r="Z1" s="1"/>
    </row>
    <row r="2" spans="1:26" ht="21.4" customHeight="1">
      <c r="A2" s="141" t="s">
        <v>677</v>
      </c>
      <c r="B2" s="141"/>
      <c r="C2" s="141"/>
      <c r="D2" s="141"/>
      <c r="E2" s="141"/>
      <c r="F2" s="141"/>
      <c r="G2" s="14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0" t="s">
        <v>678</v>
      </c>
      <c r="B4" s="10" t="s">
        <v>679</v>
      </c>
      <c r="C4" s="10" t="s">
        <v>680</v>
      </c>
      <c r="D4" s="10" t="s">
        <v>681</v>
      </c>
      <c r="E4" s="10" t="s">
        <v>682</v>
      </c>
      <c r="F4" s="10" t="s">
        <v>683</v>
      </c>
      <c r="G4" s="10" t="s">
        <v>308</v>
      </c>
      <c r="H4" s="1"/>
      <c r="I4" s="1"/>
      <c r="J4" s="1"/>
      <c r="K4" s="1"/>
      <c r="L4" s="1"/>
      <c r="M4" s="1"/>
      <c r="N4" s="1"/>
      <c r="O4" s="1"/>
      <c r="P4" s="1"/>
      <c r="Q4" s="1"/>
      <c r="R4" s="1"/>
      <c r="S4" s="1"/>
      <c r="T4" s="1"/>
      <c r="U4" s="1"/>
      <c r="V4" s="1"/>
      <c r="W4" s="1"/>
      <c r="X4" s="1"/>
      <c r="Y4" s="1"/>
      <c r="Z4" s="1"/>
    </row>
    <row r="5" spans="1:26" ht="28">
      <c r="A5" s="3" t="s">
        <v>684</v>
      </c>
      <c r="B5" s="3" t="s">
        <v>685</v>
      </c>
      <c r="C5" s="3" t="s">
        <v>686</v>
      </c>
      <c r="D5" s="3" t="s">
        <v>687</v>
      </c>
      <c r="E5" s="3" t="s">
        <v>688</v>
      </c>
      <c r="F5" s="3" t="s">
        <v>689</v>
      </c>
      <c r="G5" s="11" t="s">
        <v>422</v>
      </c>
      <c r="H5" s="1"/>
      <c r="I5" s="1"/>
      <c r="J5" s="1"/>
      <c r="K5" s="1"/>
      <c r="L5" s="1"/>
      <c r="M5" s="1"/>
      <c r="N5" s="1"/>
      <c r="O5" s="1"/>
      <c r="P5" s="1"/>
      <c r="Q5" s="1"/>
      <c r="R5" s="1"/>
      <c r="S5" s="1"/>
      <c r="T5" s="1"/>
      <c r="U5" s="1"/>
      <c r="V5" s="1"/>
      <c r="W5" s="1"/>
      <c r="X5" s="1"/>
      <c r="Y5" s="1"/>
      <c r="Z5" s="1"/>
    </row>
    <row r="6" spans="1:26" ht="28">
      <c r="A6" s="3" t="s">
        <v>690</v>
      </c>
      <c r="B6" s="3" t="s">
        <v>485</v>
      </c>
      <c r="C6" s="3" t="s">
        <v>691</v>
      </c>
      <c r="D6" s="3" t="s">
        <v>692</v>
      </c>
      <c r="E6" s="3" t="s">
        <v>693</v>
      </c>
      <c r="F6" s="3" t="s">
        <v>694</v>
      </c>
      <c r="G6" s="11" t="s">
        <v>79</v>
      </c>
      <c r="H6" s="1"/>
      <c r="I6" s="1"/>
      <c r="J6" s="1"/>
      <c r="K6" s="1"/>
      <c r="L6" s="1"/>
      <c r="M6" s="1"/>
      <c r="N6" s="1"/>
      <c r="O6" s="1"/>
      <c r="P6" s="1"/>
      <c r="Q6" s="1"/>
      <c r="R6" s="1"/>
      <c r="S6" s="1"/>
      <c r="T6" s="1"/>
      <c r="U6" s="1"/>
      <c r="V6" s="1"/>
      <c r="W6" s="1"/>
      <c r="X6" s="1"/>
      <c r="Y6" s="1"/>
      <c r="Z6" s="1"/>
    </row>
    <row r="7" spans="1:26" ht="28">
      <c r="A7" s="3" t="s">
        <v>695</v>
      </c>
      <c r="B7" s="3" t="s">
        <v>696</v>
      </c>
      <c r="C7" s="3" t="s">
        <v>697</v>
      </c>
      <c r="D7" s="3" t="s">
        <v>698</v>
      </c>
      <c r="E7" s="3" t="s">
        <v>699</v>
      </c>
      <c r="F7" s="3" t="s">
        <v>700</v>
      </c>
      <c r="G7" s="11" t="s">
        <v>179</v>
      </c>
      <c r="H7" s="1"/>
      <c r="I7" s="1"/>
      <c r="J7" s="1"/>
      <c r="K7" s="1"/>
      <c r="L7" s="1"/>
      <c r="M7" s="1"/>
      <c r="N7" s="1"/>
      <c r="O7" s="1"/>
      <c r="P7" s="1"/>
      <c r="Q7" s="1"/>
      <c r="R7" s="1"/>
      <c r="S7" s="1"/>
      <c r="T7" s="1"/>
      <c r="U7" s="1"/>
      <c r="V7" s="1"/>
      <c r="W7" s="1"/>
      <c r="X7" s="1"/>
      <c r="Y7" s="1"/>
      <c r="Z7" s="1"/>
    </row>
    <row r="8" spans="1:26" ht="28">
      <c r="A8" s="3" t="s">
        <v>701</v>
      </c>
      <c r="B8" s="3" t="s">
        <v>702</v>
      </c>
      <c r="C8" s="3" t="s">
        <v>697</v>
      </c>
      <c r="D8" s="3" t="s">
        <v>703</v>
      </c>
      <c r="E8" s="3" t="s">
        <v>704</v>
      </c>
      <c r="F8" s="3" t="s">
        <v>705</v>
      </c>
      <c r="G8" s="11" t="s">
        <v>179</v>
      </c>
      <c r="H8" s="1"/>
      <c r="I8" s="1"/>
      <c r="J8" s="1"/>
      <c r="K8" s="1"/>
      <c r="L8" s="1"/>
      <c r="M8" s="1"/>
      <c r="N8" s="1"/>
      <c r="O8" s="1"/>
      <c r="P8" s="1"/>
      <c r="Q8" s="1"/>
      <c r="R8" s="1"/>
      <c r="S8" s="1"/>
      <c r="T8" s="1"/>
      <c r="U8" s="1"/>
      <c r="V8" s="1"/>
      <c r="W8" s="1"/>
      <c r="X8" s="1"/>
      <c r="Y8" s="1"/>
      <c r="Z8" s="1"/>
    </row>
    <row r="9" spans="1:26" ht="28">
      <c r="A9" s="3" t="s">
        <v>706</v>
      </c>
      <c r="B9" s="3" t="s">
        <v>707</v>
      </c>
      <c r="C9" s="3" t="s">
        <v>708</v>
      </c>
      <c r="D9" s="3" t="s">
        <v>709</v>
      </c>
      <c r="E9" s="3" t="s">
        <v>710</v>
      </c>
      <c r="F9" s="3" t="s">
        <v>711</v>
      </c>
      <c r="G9" s="11" t="s">
        <v>86</v>
      </c>
      <c r="H9" s="1"/>
      <c r="I9" s="1"/>
      <c r="J9" s="1"/>
      <c r="K9" s="1"/>
      <c r="L9" s="1"/>
      <c r="M9" s="1"/>
      <c r="N9" s="1"/>
      <c r="O9" s="1"/>
      <c r="P9" s="1"/>
      <c r="Q9" s="1"/>
      <c r="R9" s="1"/>
      <c r="S9" s="1"/>
      <c r="T9" s="1"/>
      <c r="U9" s="1"/>
      <c r="V9" s="1"/>
      <c r="W9" s="1"/>
      <c r="X9" s="1"/>
      <c r="Y9" s="1"/>
      <c r="Z9" s="1"/>
    </row>
    <row r="10" spans="1:26">
      <c r="A10" s="3" t="s">
        <v>712</v>
      </c>
      <c r="B10" s="3" t="s">
        <v>713</v>
      </c>
      <c r="C10" s="3" t="s">
        <v>72</v>
      </c>
      <c r="D10" s="3" t="s">
        <v>714</v>
      </c>
      <c r="E10" s="3" t="s">
        <v>715</v>
      </c>
      <c r="F10" s="3" t="s">
        <v>716</v>
      </c>
      <c r="G10" s="11" t="s">
        <v>86</v>
      </c>
      <c r="H10" s="1"/>
      <c r="I10" s="1"/>
      <c r="J10" s="1"/>
      <c r="K10" s="1"/>
      <c r="L10" s="1"/>
      <c r="M10" s="1"/>
      <c r="N10" s="1"/>
      <c r="O10" s="1"/>
      <c r="P10" s="1"/>
      <c r="Q10" s="1"/>
      <c r="R10" s="1"/>
      <c r="S10" s="1"/>
      <c r="T10" s="1"/>
      <c r="U10" s="1"/>
      <c r="V10" s="1"/>
      <c r="W10" s="1"/>
      <c r="X10" s="1"/>
      <c r="Y10" s="1"/>
      <c r="Z10" s="1"/>
    </row>
    <row r="11" spans="1:26" ht="28">
      <c r="A11" s="3" t="s">
        <v>717</v>
      </c>
      <c r="B11" s="3" t="s">
        <v>718</v>
      </c>
      <c r="C11" s="3" t="s">
        <v>72</v>
      </c>
      <c r="D11" s="3" t="s">
        <v>719</v>
      </c>
      <c r="E11" s="3" t="s">
        <v>720</v>
      </c>
      <c r="F11" s="3" t="s">
        <v>721</v>
      </c>
      <c r="G11" s="11" t="s">
        <v>636</v>
      </c>
      <c r="H11" s="1"/>
      <c r="I11" s="1"/>
      <c r="J11" s="1"/>
      <c r="K11" s="1"/>
      <c r="L11" s="1"/>
      <c r="M11" s="1"/>
      <c r="N11" s="1"/>
      <c r="O11" s="1"/>
      <c r="P11" s="1"/>
      <c r="Q11" s="1"/>
      <c r="R11" s="1"/>
      <c r="S11" s="1"/>
      <c r="T11" s="1"/>
      <c r="U11" s="1"/>
      <c r="V11" s="1"/>
      <c r="W11" s="1"/>
      <c r="X11" s="1"/>
      <c r="Y11" s="1"/>
      <c r="Z11" s="1"/>
    </row>
    <row r="12" spans="1:26" ht="28">
      <c r="A12" s="3" t="s">
        <v>506</v>
      </c>
      <c r="B12" s="3" t="s">
        <v>722</v>
      </c>
      <c r="C12" s="3" t="s">
        <v>723</v>
      </c>
      <c r="D12" s="3" t="s">
        <v>724</v>
      </c>
      <c r="E12" s="3" t="s">
        <v>725</v>
      </c>
      <c r="F12" s="3" t="s">
        <v>726</v>
      </c>
      <c r="G12" s="11" t="s">
        <v>404</v>
      </c>
      <c r="H12" s="1"/>
      <c r="I12" s="1"/>
      <c r="J12" s="1"/>
      <c r="K12" s="1"/>
      <c r="L12" s="1"/>
      <c r="M12" s="1"/>
      <c r="N12" s="1"/>
      <c r="O12" s="1"/>
      <c r="P12" s="1"/>
      <c r="Q12" s="1"/>
      <c r="R12" s="1"/>
      <c r="S12" s="1"/>
      <c r="T12" s="1"/>
      <c r="U12" s="1"/>
      <c r="V12" s="1"/>
      <c r="W12" s="1"/>
      <c r="X12" s="1"/>
      <c r="Y12" s="1"/>
      <c r="Z12" s="1"/>
    </row>
    <row r="13" spans="1:26" ht="28">
      <c r="A13" s="3" t="s">
        <v>727</v>
      </c>
      <c r="B13" s="3" t="s">
        <v>728</v>
      </c>
      <c r="C13" s="3" t="s">
        <v>63</v>
      </c>
      <c r="D13" s="3" t="s">
        <v>729</v>
      </c>
      <c r="E13" s="3" t="s">
        <v>730</v>
      </c>
      <c r="F13" s="3" t="s">
        <v>731</v>
      </c>
      <c r="G13" s="11" t="s">
        <v>78</v>
      </c>
      <c r="H13" s="1"/>
      <c r="I13" s="1"/>
      <c r="J13" s="1"/>
      <c r="K13" s="1"/>
      <c r="L13" s="1"/>
      <c r="M13" s="1"/>
      <c r="N13" s="1"/>
      <c r="O13" s="1"/>
      <c r="P13" s="1"/>
      <c r="Q13" s="1"/>
      <c r="R13" s="1"/>
      <c r="S13" s="1"/>
      <c r="T13" s="1"/>
      <c r="U13" s="1"/>
      <c r="V13" s="1"/>
      <c r="W13" s="1"/>
      <c r="X13" s="1"/>
      <c r="Y13" s="1"/>
      <c r="Z13" s="1"/>
    </row>
    <row r="14" spans="1:26" ht="28">
      <c r="A14" s="3" t="s">
        <v>732</v>
      </c>
      <c r="B14" s="3" t="s">
        <v>733</v>
      </c>
      <c r="C14" s="3" t="s">
        <v>734</v>
      </c>
      <c r="D14" s="3" t="s">
        <v>735</v>
      </c>
      <c r="E14" s="3" t="s">
        <v>736</v>
      </c>
      <c r="F14" s="3" t="s">
        <v>737</v>
      </c>
      <c r="G14" s="11" t="s">
        <v>80</v>
      </c>
      <c r="H14" s="1"/>
      <c r="I14" s="1"/>
      <c r="J14" s="1"/>
      <c r="K14" s="1"/>
      <c r="L14" s="1"/>
      <c r="M14" s="1"/>
      <c r="N14" s="1"/>
      <c r="O14" s="1"/>
      <c r="P14" s="1"/>
      <c r="Q14" s="1"/>
      <c r="R14" s="1"/>
      <c r="S14" s="1"/>
      <c r="T14" s="1"/>
      <c r="U14" s="1"/>
      <c r="V14" s="1"/>
      <c r="W14" s="1"/>
      <c r="X14" s="1"/>
      <c r="Y14" s="1"/>
      <c r="Z14" s="1"/>
    </row>
    <row r="15" spans="1:26" ht="28">
      <c r="A15" s="3" t="s">
        <v>738</v>
      </c>
      <c r="B15" s="3" t="s">
        <v>739</v>
      </c>
      <c r="C15" s="3" t="s">
        <v>740</v>
      </c>
      <c r="D15" s="3" t="s">
        <v>741</v>
      </c>
      <c r="E15" s="3" t="s">
        <v>742</v>
      </c>
      <c r="F15" s="3" t="s">
        <v>743</v>
      </c>
      <c r="G15" s="11" t="s">
        <v>179</v>
      </c>
      <c r="H15" s="1"/>
      <c r="I15" s="1"/>
      <c r="J15" s="1"/>
      <c r="K15" s="1"/>
      <c r="L15" s="1"/>
      <c r="M15" s="1"/>
      <c r="N15" s="1"/>
      <c r="O15" s="1"/>
      <c r="P15" s="1"/>
      <c r="Q15" s="1"/>
      <c r="R15" s="1"/>
      <c r="S15" s="1"/>
      <c r="T15" s="1"/>
      <c r="U15" s="1"/>
      <c r="V15" s="1"/>
      <c r="W15" s="1"/>
      <c r="X15" s="1"/>
      <c r="Y15" s="1"/>
      <c r="Z15" s="1"/>
    </row>
    <row r="16" spans="1:26">
      <c r="A16" s="3" t="s">
        <v>744</v>
      </c>
      <c r="B16" s="3" t="s">
        <v>745</v>
      </c>
      <c r="C16" s="3" t="s">
        <v>526</v>
      </c>
      <c r="D16" s="3" t="s">
        <v>746</v>
      </c>
      <c r="E16" s="3" t="s">
        <v>747</v>
      </c>
      <c r="F16" s="3" t="s">
        <v>530</v>
      </c>
      <c r="G16" s="11" t="s">
        <v>86</v>
      </c>
      <c r="H16" s="1"/>
      <c r="I16" s="1"/>
      <c r="J16" s="1"/>
      <c r="K16" s="1"/>
      <c r="L16" s="1"/>
      <c r="M16" s="1"/>
      <c r="N16" s="1"/>
      <c r="O16" s="1"/>
      <c r="P16" s="1"/>
      <c r="Q16" s="1"/>
      <c r="R16" s="1"/>
      <c r="S16" s="1"/>
      <c r="T16" s="1"/>
      <c r="U16" s="1"/>
      <c r="V16" s="1"/>
      <c r="W16" s="1"/>
      <c r="X16" s="1"/>
      <c r="Y16" s="1"/>
      <c r="Z16" s="1"/>
    </row>
    <row r="17" spans="1:26" ht="28">
      <c r="A17" s="3" t="s">
        <v>748</v>
      </c>
      <c r="B17" s="3" t="s">
        <v>749</v>
      </c>
      <c r="C17" s="3" t="s">
        <v>750</v>
      </c>
      <c r="D17" s="3" t="s">
        <v>751</v>
      </c>
      <c r="E17" s="3" t="s">
        <v>752</v>
      </c>
      <c r="F17" s="3" t="s">
        <v>753</v>
      </c>
      <c r="G17" s="11" t="s">
        <v>446</v>
      </c>
      <c r="H17" s="1"/>
      <c r="I17" s="1"/>
      <c r="J17" s="1"/>
      <c r="K17" s="1"/>
      <c r="L17" s="1"/>
      <c r="M17" s="1"/>
      <c r="N17" s="1"/>
      <c r="O17" s="1"/>
      <c r="P17" s="1"/>
      <c r="Q17" s="1"/>
      <c r="R17" s="1"/>
      <c r="S17" s="1"/>
      <c r="T17" s="1"/>
      <c r="U17" s="1"/>
      <c r="V17" s="1"/>
      <c r="W17" s="1"/>
      <c r="X17" s="1"/>
      <c r="Y17" s="1"/>
      <c r="Z17" s="1"/>
    </row>
    <row r="18" spans="1:26" ht="28">
      <c r="A18" s="3" t="s">
        <v>754</v>
      </c>
      <c r="B18" s="3" t="s">
        <v>755</v>
      </c>
      <c r="C18" s="3" t="s">
        <v>756</v>
      </c>
      <c r="D18" s="3" t="s">
        <v>757</v>
      </c>
      <c r="E18" s="3" t="s">
        <v>758</v>
      </c>
      <c r="F18" s="3" t="s">
        <v>759</v>
      </c>
      <c r="G18" s="11" t="s">
        <v>86</v>
      </c>
      <c r="H18" s="1"/>
      <c r="I18" s="1"/>
      <c r="J18" s="1"/>
      <c r="K18" s="1"/>
      <c r="L18" s="1"/>
      <c r="M18" s="1"/>
      <c r="N18" s="1"/>
      <c r="O18" s="1"/>
      <c r="P18" s="1"/>
      <c r="Q18" s="1"/>
      <c r="R18" s="1"/>
      <c r="S18" s="1"/>
      <c r="T18" s="1"/>
      <c r="U18" s="1"/>
      <c r="V18" s="1"/>
      <c r="W18" s="1"/>
      <c r="X18" s="1"/>
      <c r="Y18" s="1"/>
      <c r="Z18" s="1"/>
    </row>
    <row r="19" spans="1:26" ht="28">
      <c r="A19" s="3" t="s">
        <v>760</v>
      </c>
      <c r="B19" s="3" t="s">
        <v>761</v>
      </c>
      <c r="C19" s="3" t="s">
        <v>762</v>
      </c>
      <c r="D19" s="3" t="s">
        <v>763</v>
      </c>
      <c r="E19" s="3" t="s">
        <v>764</v>
      </c>
      <c r="F19" s="3" t="s">
        <v>765</v>
      </c>
      <c r="G19" s="11" t="s">
        <v>471</v>
      </c>
      <c r="H19" s="1"/>
      <c r="I19" s="1"/>
      <c r="J19" s="1"/>
      <c r="K19" s="1"/>
      <c r="L19" s="1"/>
      <c r="M19" s="1"/>
      <c r="N19" s="1"/>
      <c r="O19" s="1"/>
      <c r="P19" s="1"/>
      <c r="Q19" s="1"/>
      <c r="R19" s="1"/>
      <c r="S19" s="1"/>
      <c r="T19" s="1"/>
      <c r="U19" s="1"/>
      <c r="V19" s="1"/>
      <c r="W19" s="1"/>
      <c r="X19" s="1"/>
      <c r="Y19" s="1"/>
      <c r="Z19" s="1"/>
    </row>
    <row r="20" spans="1:26">
      <c r="A20" s="3" t="s">
        <v>766</v>
      </c>
      <c r="B20" s="3" t="s">
        <v>767</v>
      </c>
      <c r="C20" s="3" t="s">
        <v>768</v>
      </c>
      <c r="D20" s="3" t="s">
        <v>769</v>
      </c>
      <c r="E20" s="3" t="s">
        <v>770</v>
      </c>
      <c r="F20" s="3" t="s">
        <v>771</v>
      </c>
      <c r="G20" s="11" t="s">
        <v>446</v>
      </c>
      <c r="H20" s="1"/>
      <c r="I20" s="1"/>
      <c r="J20" s="1"/>
      <c r="K20" s="1"/>
      <c r="L20" s="1"/>
      <c r="M20" s="1"/>
      <c r="N20" s="1"/>
      <c r="O20" s="1"/>
      <c r="P20" s="1"/>
      <c r="Q20" s="1"/>
      <c r="R20" s="1"/>
      <c r="S20" s="1"/>
      <c r="T20" s="1"/>
      <c r="U20" s="1"/>
      <c r="V20" s="1"/>
      <c r="W20" s="1"/>
      <c r="X20" s="1"/>
      <c r="Y20" s="1"/>
      <c r="Z20" s="1"/>
    </row>
    <row r="21" spans="1:26" ht="28">
      <c r="A21" s="3" t="s">
        <v>772</v>
      </c>
      <c r="B21" s="3" t="s">
        <v>773</v>
      </c>
      <c r="C21" s="3" t="s">
        <v>768</v>
      </c>
      <c r="D21" s="3" t="s">
        <v>774</v>
      </c>
      <c r="E21" s="3" t="s">
        <v>775</v>
      </c>
      <c r="F21" s="3" t="s">
        <v>776</v>
      </c>
      <c r="G21" s="11" t="s">
        <v>422</v>
      </c>
      <c r="H21" s="1"/>
      <c r="I21" s="1"/>
      <c r="J21" s="1"/>
      <c r="K21" s="1"/>
      <c r="L21" s="1"/>
      <c r="M21" s="1"/>
      <c r="N21" s="1"/>
      <c r="O21" s="1"/>
      <c r="P21" s="1"/>
      <c r="Q21" s="1"/>
      <c r="R21" s="1"/>
      <c r="S21" s="1"/>
      <c r="T21" s="1"/>
      <c r="U21" s="1"/>
      <c r="V21" s="1"/>
      <c r="W21" s="1"/>
      <c r="X21" s="1"/>
      <c r="Y21" s="1"/>
      <c r="Z21" s="1"/>
    </row>
    <row r="22" spans="1:26" ht="28">
      <c r="A22" s="3" t="s">
        <v>777</v>
      </c>
      <c r="B22" s="3" t="s">
        <v>778</v>
      </c>
      <c r="C22" s="3" t="s">
        <v>768</v>
      </c>
      <c r="D22" s="3" t="s">
        <v>779</v>
      </c>
      <c r="E22" s="3" t="s">
        <v>780</v>
      </c>
      <c r="F22" s="3" t="s">
        <v>781</v>
      </c>
      <c r="G22" s="11" t="s">
        <v>422</v>
      </c>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A1:G1"/>
    <mergeCell ref="A2:G2"/>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7365D"/>
  </sheetPr>
  <dimension ref="A1:F12"/>
  <sheetViews>
    <sheetView showGridLines="0" workbookViewId="0">
      <pane ySplit="1" topLeftCell="A2" activePane="bottomLeft" state="frozen"/>
      <selection pane="bottomLeft"/>
    </sheetView>
  </sheetViews>
  <sheetFormatPr defaultRowHeight="14"/>
  <cols>
    <col min="1" max="1" width="14" customWidth="1"/>
    <col min="2" max="2" width="18" customWidth="1"/>
    <col min="3" max="3" width="16" customWidth="1"/>
    <col min="4" max="4" width="21" customWidth="1"/>
    <col min="5" max="5" width="18" customWidth="1"/>
    <col min="6" max="6" width="30" customWidth="1"/>
  </cols>
  <sheetData>
    <row r="1" spans="1:6" ht="30" customHeight="1">
      <c r="A1" s="15" t="s">
        <v>782</v>
      </c>
      <c r="B1" s="16" t="s">
        <v>783</v>
      </c>
      <c r="C1" s="16" t="s">
        <v>784</v>
      </c>
      <c r="D1" s="16" t="s">
        <v>785</v>
      </c>
      <c r="E1" s="16" t="s">
        <v>786</v>
      </c>
      <c r="F1" s="17" t="s">
        <v>787</v>
      </c>
    </row>
    <row r="2" spans="1:6" ht="20" customHeight="1">
      <c r="A2" s="18" t="s">
        <v>62</v>
      </c>
      <c r="B2" s="18" t="s">
        <v>311</v>
      </c>
      <c r="C2" s="18" t="s">
        <v>788</v>
      </c>
      <c r="D2" s="18" t="s">
        <v>789</v>
      </c>
      <c r="E2" s="18" t="s">
        <v>790</v>
      </c>
      <c r="F2" s="18" t="s">
        <v>791</v>
      </c>
    </row>
    <row r="3" spans="1:6" ht="20" customHeight="1">
      <c r="A3" s="18" t="s">
        <v>63</v>
      </c>
      <c r="B3" s="18" t="s">
        <v>311</v>
      </c>
      <c r="C3" s="18" t="s">
        <v>788</v>
      </c>
      <c r="D3" s="18" t="s">
        <v>789</v>
      </c>
      <c r="E3" s="18" t="s">
        <v>790</v>
      </c>
      <c r="F3" s="18" t="s">
        <v>506</v>
      </c>
    </row>
    <row r="4" spans="1:6" ht="20" customHeight="1">
      <c r="A4" s="18" t="s">
        <v>64</v>
      </c>
      <c r="B4" s="18" t="s">
        <v>311</v>
      </c>
      <c r="C4" s="18" t="s">
        <v>788</v>
      </c>
      <c r="D4" s="18" t="s">
        <v>789</v>
      </c>
      <c r="E4" s="18" t="s">
        <v>792</v>
      </c>
      <c r="F4" s="18" t="s">
        <v>793</v>
      </c>
    </row>
    <row r="5" spans="1:6" ht="20" customHeight="1">
      <c r="A5" s="18" t="s">
        <v>65</v>
      </c>
      <c r="B5" s="18" t="s">
        <v>316</v>
      </c>
      <c r="C5" s="18" t="s">
        <v>794</v>
      </c>
      <c r="D5" s="18" t="s">
        <v>795</v>
      </c>
      <c r="E5" s="18" t="s">
        <v>796</v>
      </c>
      <c r="F5" s="18" t="s">
        <v>797</v>
      </c>
    </row>
    <row r="6" spans="1:6" ht="20" customHeight="1">
      <c r="A6" s="18" t="s">
        <v>66</v>
      </c>
      <c r="B6" s="18" t="s">
        <v>316</v>
      </c>
      <c r="C6" s="18" t="s">
        <v>794</v>
      </c>
      <c r="D6" s="18" t="s">
        <v>794</v>
      </c>
      <c r="E6" s="18" t="s">
        <v>796</v>
      </c>
      <c r="F6" s="18" t="s">
        <v>798</v>
      </c>
    </row>
    <row r="7" spans="1:6" ht="20" customHeight="1">
      <c r="A7" s="18" t="s">
        <v>67</v>
      </c>
      <c r="B7" s="18" t="s">
        <v>316</v>
      </c>
      <c r="C7" s="18" t="s">
        <v>794</v>
      </c>
      <c r="D7" s="18" t="s">
        <v>794</v>
      </c>
      <c r="E7" s="18" t="s">
        <v>796</v>
      </c>
      <c r="F7" s="18" t="s">
        <v>798</v>
      </c>
    </row>
    <row r="8" spans="1:6" ht="20" customHeight="1">
      <c r="A8" s="18" t="s">
        <v>68</v>
      </c>
      <c r="B8" s="18" t="s">
        <v>316</v>
      </c>
      <c r="C8" s="18" t="s">
        <v>794</v>
      </c>
      <c r="D8" s="18" t="s">
        <v>794</v>
      </c>
      <c r="E8" s="18" t="s">
        <v>796</v>
      </c>
      <c r="F8" s="18" t="s">
        <v>798</v>
      </c>
    </row>
    <row r="9" spans="1:6" ht="20" customHeight="1">
      <c r="A9" s="18" t="s">
        <v>69</v>
      </c>
      <c r="B9" s="18" t="s">
        <v>316</v>
      </c>
      <c r="C9" s="18" t="s">
        <v>794</v>
      </c>
      <c r="D9" s="18" t="s">
        <v>799</v>
      </c>
      <c r="E9" s="18" t="s">
        <v>792</v>
      </c>
      <c r="F9" s="18" t="s">
        <v>519</v>
      </c>
    </row>
    <row r="10" spans="1:6" ht="20" customHeight="1">
      <c r="A10" s="18" t="s">
        <v>70</v>
      </c>
      <c r="B10" s="18" t="s">
        <v>316</v>
      </c>
      <c r="C10" s="18" t="s">
        <v>794</v>
      </c>
      <c r="D10" s="18" t="s">
        <v>794</v>
      </c>
      <c r="E10" s="18" t="s">
        <v>800</v>
      </c>
      <c r="F10" s="18" t="s">
        <v>801</v>
      </c>
    </row>
    <row r="11" spans="1:6" ht="20" customHeight="1">
      <c r="A11" s="18" t="s">
        <v>71</v>
      </c>
      <c r="B11" s="18" t="s">
        <v>316</v>
      </c>
      <c r="C11" s="18" t="s">
        <v>794</v>
      </c>
      <c r="D11" s="18" t="s">
        <v>794</v>
      </c>
      <c r="E11" s="18" t="s">
        <v>800</v>
      </c>
      <c r="F11" s="18" t="s">
        <v>798</v>
      </c>
    </row>
    <row r="12" spans="1:6" ht="20" customHeight="1">
      <c r="A12" s="19" t="s">
        <v>72</v>
      </c>
      <c r="B12" s="19" t="s">
        <v>316</v>
      </c>
      <c r="C12" s="19" t="s">
        <v>794</v>
      </c>
      <c r="D12" s="19" t="s">
        <v>802</v>
      </c>
      <c r="E12" s="19" t="s">
        <v>800</v>
      </c>
      <c r="F12" s="19" t="s">
        <v>803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7365D"/>
  </sheetPr>
  <dimension ref="C2:O121"/>
  <sheetViews>
    <sheetView showGridLines="0" zoomScale="50" workbookViewId="0">
      <pane xSplit="3" ySplit="6" topLeftCell="D63" activePane="bottomRight" state="frozen"/>
      <selection pane="topRight"/>
      <selection pane="bottomLeft"/>
      <selection pane="bottomRight" activeCell="D7" sqref="D7"/>
    </sheetView>
  </sheetViews>
  <sheetFormatPr defaultRowHeight="14"/>
  <cols>
    <col min="1" max="2" width="2" customWidth="1"/>
    <col min="3" max="3" width="46" customWidth="1"/>
    <col min="4" max="11" width="18" customWidth="1"/>
    <col min="12" max="12" width="3" customWidth="1"/>
    <col min="13" max="13" width="30" customWidth="1"/>
    <col min="14" max="14" width="16" customWidth="1"/>
    <col min="15" max="15" width="72" customWidth="1"/>
  </cols>
  <sheetData>
    <row r="2" spans="3:15" ht="28" customHeight="1">
      <c r="C2" s="20" t="s">
        <v>804</v>
      </c>
      <c r="D2" s="20"/>
      <c r="E2" s="20"/>
      <c r="F2" s="20"/>
      <c r="G2" s="20"/>
      <c r="H2" s="20"/>
      <c r="I2" s="20"/>
      <c r="J2" s="20"/>
      <c r="K2" s="20"/>
      <c r="L2" s="14"/>
      <c r="M2" s="14"/>
      <c r="N2" s="14"/>
      <c r="O2" s="14"/>
    </row>
    <row r="3" spans="3:15">
      <c r="C3" s="21" t="s">
        <v>805</v>
      </c>
      <c r="D3" s="14"/>
      <c r="E3" s="14"/>
      <c r="F3" s="14"/>
      <c r="G3" s="14"/>
      <c r="H3" s="14"/>
      <c r="I3" s="14"/>
      <c r="J3" s="14"/>
      <c r="K3" s="14"/>
      <c r="L3" s="14"/>
      <c r="M3" s="14"/>
      <c r="N3" s="14"/>
      <c r="O3" s="14"/>
    </row>
    <row r="4" spans="3:15">
      <c r="C4" s="21" t="s">
        <v>806</v>
      </c>
      <c r="D4" s="14"/>
      <c r="E4" s="14"/>
      <c r="F4" s="14"/>
      <c r="G4" s="14"/>
      <c r="H4" s="14"/>
      <c r="I4" s="14"/>
      <c r="J4" s="14"/>
      <c r="K4" s="14"/>
      <c r="L4" s="14"/>
      <c r="M4" s="14"/>
      <c r="N4" s="14"/>
      <c r="O4" s="14"/>
    </row>
    <row r="5" spans="3:15">
      <c r="C5" s="14"/>
      <c r="D5" s="14"/>
      <c r="E5" s="14"/>
      <c r="F5" s="14"/>
      <c r="G5" s="14"/>
      <c r="H5" s="14"/>
      <c r="I5" s="14"/>
      <c r="J5" s="14"/>
      <c r="K5" s="14"/>
      <c r="L5" s="14"/>
      <c r="M5" s="14"/>
      <c r="N5" s="14"/>
      <c r="O5" s="14"/>
    </row>
    <row r="6" spans="3:15" ht="22" customHeight="1">
      <c r="C6" s="22" t="s">
        <v>782</v>
      </c>
      <c r="D6" s="23" t="s">
        <v>65</v>
      </c>
      <c r="E6" s="23" t="s">
        <v>66</v>
      </c>
      <c r="F6" s="23" t="s">
        <v>67</v>
      </c>
      <c r="G6" s="23" t="s">
        <v>68</v>
      </c>
      <c r="H6" s="23" t="s">
        <v>69</v>
      </c>
      <c r="I6" s="23" t="s">
        <v>70</v>
      </c>
      <c r="J6" s="23" t="s">
        <v>71</v>
      </c>
      <c r="K6" s="24" t="s">
        <v>72</v>
      </c>
      <c r="L6" s="14"/>
      <c r="M6" s="29" t="s">
        <v>807</v>
      </c>
      <c r="N6" s="30"/>
      <c r="O6" s="31"/>
    </row>
    <row r="7" spans="3:15">
      <c r="C7" s="26" t="s">
        <v>808</v>
      </c>
      <c r="D7" s="27" t="s">
        <v>792</v>
      </c>
      <c r="E7" s="25" t="s">
        <v>809</v>
      </c>
      <c r="F7" s="25" t="s">
        <v>809</v>
      </c>
      <c r="G7" s="25" t="s">
        <v>809</v>
      </c>
      <c r="H7" s="28" t="s">
        <v>810</v>
      </c>
      <c r="I7" s="25" t="s">
        <v>809</v>
      </c>
      <c r="J7" s="27" t="s">
        <v>802</v>
      </c>
      <c r="K7" s="27" t="s">
        <v>802</v>
      </c>
      <c r="L7" s="14"/>
      <c r="M7" s="42" t="s">
        <v>678</v>
      </c>
      <c r="N7" s="43" t="s">
        <v>811</v>
      </c>
      <c r="O7" s="44" t="s">
        <v>812</v>
      </c>
    </row>
    <row r="8" spans="3:15" ht="54" customHeight="1">
      <c r="C8" s="14"/>
      <c r="D8" s="14"/>
      <c r="E8" s="14"/>
      <c r="F8" s="14"/>
      <c r="G8" s="14"/>
      <c r="H8" s="14"/>
      <c r="I8" s="14"/>
      <c r="J8" s="14"/>
      <c r="K8" s="14"/>
      <c r="L8" s="14"/>
      <c r="M8" s="47" t="s">
        <v>797</v>
      </c>
      <c r="N8" s="47" t="s">
        <v>65</v>
      </c>
      <c r="O8" s="47" t="s">
        <v>813</v>
      </c>
    </row>
    <row r="9" spans="3:15" ht="54" customHeight="1">
      <c r="C9" s="29" t="s">
        <v>814</v>
      </c>
      <c r="D9" s="30"/>
      <c r="E9" s="30"/>
      <c r="F9" s="30"/>
      <c r="G9" s="30"/>
      <c r="H9" s="30"/>
      <c r="I9" s="30"/>
      <c r="J9" s="30"/>
      <c r="K9" s="31"/>
      <c r="L9" s="14"/>
      <c r="M9" s="50" t="s">
        <v>815</v>
      </c>
      <c r="N9" s="50" t="s">
        <v>69</v>
      </c>
      <c r="O9" s="50" t="s">
        <v>816</v>
      </c>
    </row>
    <row r="10" spans="3:15" ht="54" customHeight="1">
      <c r="C10" s="32" t="s">
        <v>817</v>
      </c>
      <c r="D10" s="38">
        <f>IF('NTT DATA Financials'!G6="","N/A — source data unavailable",'NTT DATA Financials'!G6)</f>
        <v>2163625</v>
      </c>
      <c r="E10" s="38">
        <f>IF('NTT DATA Financials'!H6="","N/A — source data unavailable",'NTT DATA Financials'!H6)</f>
        <v>2266808</v>
      </c>
      <c r="F10" s="38">
        <f>IF('NTT DATA Financials'!I6="","N/A — source data unavailable",'NTT DATA Financials'!I6)</f>
        <v>2318658</v>
      </c>
      <c r="G10" s="38">
        <f>IF('NTT DATA Financials'!J6="","N/A — source data unavailable",'NTT DATA Financials'!J6)</f>
        <v>2551906</v>
      </c>
      <c r="H10" s="38">
        <f>IF('NTT DATA Financials'!K6="","N/A — source data unavailable",'NTT DATA Financials'!K6)</f>
        <v>3490182</v>
      </c>
      <c r="I10" s="38">
        <f>IF('NTT DATA Financials'!L6="","N/A — source data unavailable",'NTT DATA Financials'!L6)</f>
        <v>4367387</v>
      </c>
      <c r="J10" s="38">
        <f>IF('NTT DATA Financials'!M6="","N/A — source data unavailable",'NTT DATA Financials'!M6)</f>
        <v>4638721</v>
      </c>
      <c r="K10" s="38">
        <f>IF('NTT DATA Financials'!N6="","N/A — source data unavailable",'NTT DATA Financials'!N6)</f>
        <v>5004600</v>
      </c>
      <c r="L10" s="14"/>
      <c r="M10" s="48" t="s">
        <v>818</v>
      </c>
      <c r="N10" s="48" t="s">
        <v>72</v>
      </c>
      <c r="O10" s="48" t="s">
        <v>819</v>
      </c>
    </row>
    <row r="11" spans="3:15" ht="54" customHeight="1">
      <c r="C11" s="33" t="s">
        <v>820</v>
      </c>
      <c r="D11" s="39">
        <f>IF('NTT DATA Financials'!G7="","N/A — source data unavailable",'NTT DATA Financials'!G7)</f>
        <v>1618636</v>
      </c>
      <c r="E11" s="39">
        <f>IF('NTT DATA Financials'!H7="","N/A — source data unavailable",'NTT DATA Financials'!H7)</f>
        <v>1694577</v>
      </c>
      <c r="F11" s="39">
        <f>IF('NTT DATA Financials'!I7="","N/A — source data unavailable",'NTT DATA Financials'!I7)</f>
        <v>1734083</v>
      </c>
      <c r="G11" s="39">
        <f>IF('NTT DATA Financials'!J7="","N/A — source data unavailable",'NTT DATA Financials'!J7)</f>
        <v>1875904</v>
      </c>
      <c r="H11" s="39">
        <f>IF('NTT DATA Financials'!K7="","N/A — source data unavailable",'NTT DATA Financials'!K7)</f>
        <v>2567948</v>
      </c>
      <c r="I11" s="39">
        <f>IF('NTT DATA Financials'!L7="","N/A — source data unavailable",'NTT DATA Financials'!L7)</f>
        <v>3172421</v>
      </c>
      <c r="J11" s="39">
        <f>IF('NTT DATA Financials'!M7="","N/A — source data unavailable",'NTT DATA Financials'!M7)</f>
        <v>3351333</v>
      </c>
      <c r="K11" s="39">
        <f>IF('NTT DATA Financials'!N7="","N/A — source data unavailable",'NTT DATA Financials'!N7)</f>
        <v>3522200</v>
      </c>
      <c r="L11" s="14"/>
      <c r="M11" s="48" t="s">
        <v>821</v>
      </c>
      <c r="N11" s="48" t="s">
        <v>822</v>
      </c>
      <c r="O11" s="48" t="s">
        <v>823</v>
      </c>
    </row>
    <row r="12" spans="3:15" ht="54" customHeight="1">
      <c r="C12" s="33" t="s">
        <v>824</v>
      </c>
      <c r="D12" s="39">
        <f>IF('Working Capital'!G6="","N/A — source data unavailable",'Working Capital'!G6)</f>
        <v>489398</v>
      </c>
      <c r="E12" s="39">
        <f>IF('Working Capital'!H6="","N/A — source data unavailable",'Working Capital'!H6)</f>
        <v>502994</v>
      </c>
      <c r="F12" s="39">
        <f>IF('Working Capital'!I6="","N/A — source data unavailable",'Working Capital'!I6)</f>
        <v>517393</v>
      </c>
      <c r="G12" s="39">
        <f>IF('Working Capital'!J6="","N/A — source data unavailable",'Working Capital'!J6)</f>
        <v>581302</v>
      </c>
      <c r="H12" s="39">
        <f>IF('Working Capital'!K6="","N/A — source data unavailable",'Working Capital'!K6)</f>
        <v>1088978</v>
      </c>
      <c r="I12" s="39">
        <f>IF('Working Capital'!L6="","N/A — source data unavailable",'Working Capital'!L6)</f>
        <v>1261976</v>
      </c>
      <c r="J12" s="39" t="str">
        <f>IF('Working Capital'!M6="","N/A — source data unavailable",'Working Capital'!M6)</f>
        <v>N/A — Insufficient public information to isolate reliably</v>
      </c>
      <c r="K12" s="39" t="str">
        <f>IF('Working Capital'!N6="","N/A — source data unavailable",'Working Capital'!N6)</f>
        <v>N/A — Insufficient public information to isolate reliably</v>
      </c>
      <c r="L12" s="14"/>
      <c r="M12" s="48" t="s">
        <v>825</v>
      </c>
      <c r="N12" s="48" t="s">
        <v>822</v>
      </c>
      <c r="O12" s="48" t="s">
        <v>826</v>
      </c>
    </row>
    <row r="13" spans="3:15" ht="54" customHeight="1">
      <c r="C13" s="33" t="s">
        <v>827</v>
      </c>
      <c r="D13" s="39">
        <f>IF('Working Capital'!G13="","N/A — source data unavailable",'Working Capital'!G13)</f>
        <v>81929</v>
      </c>
      <c r="E13" s="39">
        <f>IF('Working Capital'!H13="","N/A — source data unavailable",'Working Capital'!H13)</f>
        <v>74828</v>
      </c>
      <c r="F13" s="39">
        <f>IF('Working Capital'!I13="","N/A — source data unavailable",'Working Capital'!I13)</f>
        <v>101496</v>
      </c>
      <c r="G13" s="39">
        <f>IF('Working Capital'!J13="","N/A — source data unavailable",'Working Capital'!J13)</f>
        <v>105477</v>
      </c>
      <c r="H13" s="39">
        <f>IF('Working Capital'!K13="","N/A — source data unavailable",'Working Capital'!K13)</f>
        <v>123008</v>
      </c>
      <c r="I13" s="39">
        <f>IF('Working Capital'!L13="","N/A — source data unavailable",'Working Capital'!L13)</f>
        <v>150738</v>
      </c>
      <c r="J13" s="39">
        <f>IF('Working Capital'!M13="","N/A — source data unavailable",'Working Capital'!M13)</f>
        <v>197069</v>
      </c>
      <c r="K13" s="39" t="str">
        <f>IF('Working Capital'!N13="","N/A — source data unavailable",'Working Capital'!N13)</f>
        <v>N/A — Insufficient public information to isolate reliably</v>
      </c>
      <c r="L13" s="14"/>
      <c r="M13" s="48" t="s">
        <v>828</v>
      </c>
      <c r="N13" s="48" t="s">
        <v>822</v>
      </c>
      <c r="O13" s="48" t="s">
        <v>829</v>
      </c>
    </row>
    <row r="14" spans="3:15" ht="54" customHeight="1">
      <c r="C14" s="33" t="s">
        <v>830</v>
      </c>
      <c r="D14" s="39">
        <f>IF('Working Capital'!G16="","N/A — source data unavailable",'Working Capital'!G16)</f>
        <v>15294</v>
      </c>
      <c r="E14" s="39">
        <f>IF('Working Capital'!H16="","N/A — source data unavailable",'Working Capital'!H16)</f>
        <v>13727</v>
      </c>
      <c r="F14" s="39">
        <f>IF('Working Capital'!I16="","N/A — source data unavailable",'Working Capital'!I16)</f>
        <v>14476</v>
      </c>
      <c r="G14" s="39">
        <f>IF('Working Capital'!J16="","N/A — source data unavailable",'Working Capital'!J16)</f>
        <v>25429</v>
      </c>
      <c r="H14" s="39">
        <f>IF('Working Capital'!K16="","N/A — source data unavailable",'Working Capital'!K16)</f>
        <v>76221</v>
      </c>
      <c r="I14" s="39">
        <f>IF('Working Capital'!L16="","N/A — source data unavailable",'Working Capital'!L16)</f>
        <v>51243</v>
      </c>
      <c r="J14" s="39">
        <f>IF('Working Capital'!M16="","N/A — source data unavailable",'Working Capital'!M16)</f>
        <v>55900</v>
      </c>
      <c r="K14" s="39">
        <f>IF('Working Capital'!N16="","N/A — source data unavailable",'Working Capital'!N16)</f>
        <v>69100</v>
      </c>
      <c r="L14" s="14"/>
      <c r="M14" s="48" t="s">
        <v>831</v>
      </c>
      <c r="N14" s="48" t="s">
        <v>832</v>
      </c>
      <c r="O14" s="48" t="s">
        <v>833</v>
      </c>
    </row>
    <row r="15" spans="3:15" ht="44" customHeight="1">
      <c r="C15" s="33" t="s">
        <v>834</v>
      </c>
      <c r="D15" s="39">
        <f>IF('Working Capital'!G21="","N/A — source data unavailable",'Working Capital'!G21)</f>
        <v>144862</v>
      </c>
      <c r="E15" s="39">
        <f>IF('Working Capital'!H21="","N/A — source data unavailable",'Working Capital'!H21)</f>
        <v>138224</v>
      </c>
      <c r="F15" s="39">
        <f>IF('Working Capital'!I21="","N/A — source data unavailable",'Working Capital'!I21)</f>
        <v>154020</v>
      </c>
      <c r="G15" s="39">
        <f>IF('Working Capital'!J21="","N/A — source data unavailable",'Working Capital'!J21)</f>
        <v>164617</v>
      </c>
      <c r="H15" s="39">
        <f>IF('Working Capital'!K21="","N/A — source data unavailable",'Working Capital'!K21)</f>
        <v>399443</v>
      </c>
      <c r="I15" s="39">
        <f>IF('Working Capital'!L21="","N/A — source data unavailable",'Working Capital'!L21)</f>
        <v>459825</v>
      </c>
      <c r="J15" s="39" t="str">
        <f>IF('Working Capital'!M21="","N/A — source data unavailable",'Working Capital'!M21)</f>
        <v>N/A — Insufficient public information to isolate reliably</v>
      </c>
      <c r="K15" s="39" t="str">
        <f>IF('Working Capital'!N21="","N/A — source data unavailable",'Working Capital'!N21)</f>
        <v>N/A — Insufficient public information to isolate reliably</v>
      </c>
      <c r="L15" s="14"/>
      <c r="M15" s="14"/>
      <c r="N15" s="14"/>
      <c r="O15" s="14"/>
    </row>
    <row r="16" spans="3:15" ht="44" customHeight="1">
      <c r="C16" s="33" t="s">
        <v>835</v>
      </c>
      <c r="D16" s="39">
        <f>IF('Working Capital'!G26="","N/A — source data unavailable",'Working Capital'!G26)</f>
        <v>218774</v>
      </c>
      <c r="E16" s="39">
        <f>IF('Working Capital'!H26="","N/A — source data unavailable",'Working Capital'!H26)</f>
        <v>256740</v>
      </c>
      <c r="F16" s="39">
        <f>IF('Working Capital'!I26="","N/A — source data unavailable",'Working Capital'!I26)</f>
        <v>270224</v>
      </c>
      <c r="G16" s="39">
        <f>IF('Working Capital'!J26="","N/A — source data unavailable",'Working Capital'!J26)</f>
        <v>283854</v>
      </c>
      <c r="H16" s="39">
        <f>IF('Working Capital'!K26="","N/A — source data unavailable",'Working Capital'!K26)</f>
        <v>441816</v>
      </c>
      <c r="I16" s="39">
        <f>IF('Working Capital'!L26="","N/A — source data unavailable",'Working Capital'!L26)</f>
        <v>506883</v>
      </c>
      <c r="J16" s="39">
        <f>IF('Working Capital'!M26="","N/A — source data unavailable",'Working Capital'!M26)</f>
        <v>495570</v>
      </c>
      <c r="K16" s="39" t="str">
        <f>IF('Working Capital'!N26="","N/A — source data unavailable",'Working Capital'!N26)</f>
        <v>N/A — Insufficient public information to isolate reliably</v>
      </c>
      <c r="L16" s="14"/>
      <c r="M16" s="14"/>
      <c r="N16" s="14"/>
      <c r="O16" s="14"/>
    </row>
    <row r="17" spans="3:15" ht="22" customHeight="1">
      <c r="C17" s="14"/>
      <c r="D17" s="14"/>
      <c r="E17" s="14"/>
      <c r="F17" s="14"/>
      <c r="G17" s="14"/>
      <c r="H17" s="14"/>
      <c r="I17" s="14"/>
      <c r="J17" s="14"/>
      <c r="K17" s="14"/>
      <c r="L17" s="14"/>
      <c r="M17" s="29" t="s">
        <v>836</v>
      </c>
      <c r="N17" s="30"/>
      <c r="O17" s="31"/>
    </row>
    <row r="18" spans="3:15" ht="36" customHeight="1">
      <c r="C18" s="29" t="s">
        <v>837</v>
      </c>
      <c r="D18" s="30"/>
      <c r="E18" s="30"/>
      <c r="F18" s="30"/>
      <c r="G18" s="30"/>
      <c r="H18" s="30"/>
      <c r="I18" s="30"/>
      <c r="J18" s="30"/>
      <c r="K18" s="31"/>
      <c r="L18" s="14"/>
      <c r="M18" s="51" t="s">
        <v>838</v>
      </c>
      <c r="N18" s="47" t="s">
        <v>839</v>
      </c>
      <c r="O18" s="47" t="s">
        <v>840</v>
      </c>
    </row>
    <row r="19" spans="3:15" ht="36" customHeight="1">
      <c r="C19" s="34" t="s">
        <v>841</v>
      </c>
      <c r="D19" s="36">
        <f>IF('Working Capital'!F13="","N/A — source data unavailable",'Working Capital'!F13)</f>
        <v>81948</v>
      </c>
      <c r="E19" s="14"/>
      <c r="F19" s="14"/>
      <c r="G19" s="14"/>
      <c r="H19" s="14"/>
      <c r="I19" s="14"/>
      <c r="J19" s="14"/>
      <c r="K19" s="14"/>
      <c r="L19" s="14"/>
      <c r="M19" s="48" t="s">
        <v>842</v>
      </c>
      <c r="N19" s="48" t="s">
        <v>843</v>
      </c>
      <c r="O19" s="48" t="s">
        <v>844</v>
      </c>
    </row>
    <row r="20" spans="3:15" ht="36" customHeight="1">
      <c r="C20" s="35" t="s">
        <v>845</v>
      </c>
      <c r="D20" s="37">
        <f>IF('Working Capital'!F26="","N/A — source data unavailable",'Working Capital'!F26)</f>
        <v>213791</v>
      </c>
      <c r="E20" s="14"/>
      <c r="F20" s="14"/>
      <c r="G20" s="14"/>
      <c r="H20" s="14"/>
      <c r="I20" s="14"/>
      <c r="J20" s="14"/>
      <c r="K20" s="14"/>
      <c r="L20" s="14"/>
      <c r="M20" s="52" t="s">
        <v>846</v>
      </c>
      <c r="N20" s="52" t="s">
        <v>847</v>
      </c>
      <c r="O20" s="52" t="s">
        <v>848</v>
      </c>
    </row>
    <row r="21" spans="3:15" ht="36" customHeight="1">
      <c r="C21" s="14"/>
      <c r="D21" s="14"/>
      <c r="E21" s="14"/>
      <c r="F21" s="14"/>
      <c r="G21" s="14"/>
      <c r="H21" s="14"/>
      <c r="I21" s="14"/>
      <c r="J21" s="14"/>
      <c r="K21" s="14"/>
      <c r="L21" s="14"/>
      <c r="M21" s="49" t="s">
        <v>810</v>
      </c>
      <c r="N21" s="49" t="s">
        <v>849</v>
      </c>
      <c r="O21" s="49" t="s">
        <v>850</v>
      </c>
    </row>
    <row r="22" spans="3:15" ht="22" customHeight="1">
      <c r="C22" s="29" t="s">
        <v>851</v>
      </c>
      <c r="D22" s="30"/>
      <c r="E22" s="30"/>
      <c r="F22" s="30"/>
      <c r="G22" s="30"/>
      <c r="H22" s="30"/>
      <c r="I22" s="30"/>
      <c r="J22" s="30"/>
      <c r="K22" s="31"/>
      <c r="L22" s="14"/>
      <c r="M22" s="14"/>
      <c r="N22" s="14"/>
      <c r="O22" s="14"/>
    </row>
    <row r="23" spans="3:15" ht="54" customHeight="1">
      <c r="C23" s="32" t="s">
        <v>852</v>
      </c>
      <c r="D23" s="40" t="str">
        <f>"N/A — opening balance not sufficiently comparable"</f>
        <v>N/A — opening balance not sufficiently comparable</v>
      </c>
      <c r="E23" s="40">
        <f t="shared" ref="E23:I27" si="0">IF(AND(ISNUMBER(D12),ISNUMBER(E12)),AVERAGE(D12,E12),"N/A — insufficient comparable data")</f>
        <v>496196</v>
      </c>
      <c r="F23" s="40">
        <f t="shared" si="0"/>
        <v>510193.5</v>
      </c>
      <c r="G23" s="40">
        <f t="shared" si="0"/>
        <v>549347.5</v>
      </c>
      <c r="H23" s="40">
        <f t="shared" si="0"/>
        <v>835140</v>
      </c>
      <c r="I23" s="40">
        <f t="shared" si="0"/>
        <v>1175477</v>
      </c>
      <c r="J23" s="40" t="str">
        <f t="shared" ref="J23:K27" si="1">IF(AND(ISNUMBER(I12),ISNUMBER(J12)),AVERAGE(I12,J12),"N/A — insufficient comparable disclosure")</f>
        <v>N/A — insufficient comparable disclosure</v>
      </c>
      <c r="K23" s="40" t="str">
        <f t="shared" si="1"/>
        <v>N/A — insufficient comparable disclosure</v>
      </c>
      <c r="L23" s="14"/>
      <c r="M23" s="14"/>
      <c r="N23" s="14"/>
      <c r="O23" s="14"/>
    </row>
    <row r="24" spans="3:15" ht="22" customHeight="1">
      <c r="C24" s="33" t="s">
        <v>853</v>
      </c>
      <c r="D24" s="41">
        <f>IF(AND(ISNUMBER(D19),ISNUMBER(D13)),AVERAGE(D19,D13),"N/A — insufficient comparable data")</f>
        <v>81938.5</v>
      </c>
      <c r="E24" s="41">
        <f t="shared" si="0"/>
        <v>78378.5</v>
      </c>
      <c r="F24" s="41">
        <f t="shared" si="0"/>
        <v>88162</v>
      </c>
      <c r="G24" s="41">
        <f t="shared" si="0"/>
        <v>103486.5</v>
      </c>
      <c r="H24" s="41">
        <f t="shared" si="0"/>
        <v>114242.5</v>
      </c>
      <c r="I24" s="41">
        <f t="shared" si="0"/>
        <v>136873</v>
      </c>
      <c r="J24" s="41">
        <f t="shared" si="1"/>
        <v>173903.5</v>
      </c>
      <c r="K24" s="41" t="str">
        <f t="shared" si="1"/>
        <v>N/A — insufficient comparable disclosure</v>
      </c>
      <c r="L24" s="14"/>
      <c r="M24" s="53" t="s">
        <v>854</v>
      </c>
      <c r="N24" s="54"/>
      <c r="O24" s="55"/>
    </row>
    <row r="25" spans="3:15" ht="54" customHeight="1">
      <c r="C25" s="33" t="s">
        <v>855</v>
      </c>
      <c r="D25" s="41" t="str">
        <f>"N/A — opening balance not sufficiently comparable"</f>
        <v>N/A — opening balance not sufficiently comparable</v>
      </c>
      <c r="E25" s="41">
        <f t="shared" si="0"/>
        <v>14510.5</v>
      </c>
      <c r="F25" s="41">
        <f t="shared" si="0"/>
        <v>14101.5</v>
      </c>
      <c r="G25" s="41">
        <f t="shared" si="0"/>
        <v>19952.5</v>
      </c>
      <c r="H25" s="41">
        <f t="shared" si="0"/>
        <v>50825</v>
      </c>
      <c r="I25" s="41">
        <f t="shared" si="0"/>
        <v>63732</v>
      </c>
      <c r="J25" s="41">
        <f t="shared" si="1"/>
        <v>53571.5</v>
      </c>
      <c r="K25" s="41">
        <f t="shared" si="1"/>
        <v>62500</v>
      </c>
      <c r="L25" s="14"/>
      <c r="M25" s="59" t="s">
        <v>678</v>
      </c>
      <c r="N25" s="60" t="s">
        <v>811</v>
      </c>
      <c r="O25" s="61" t="s">
        <v>856</v>
      </c>
    </row>
    <row r="26" spans="3:15" ht="54" customHeight="1">
      <c r="C26" s="33" t="s">
        <v>857</v>
      </c>
      <c r="D26" s="41" t="str">
        <f>"N/A — opening balance not sufficiently comparable"</f>
        <v>N/A — opening balance not sufficiently comparable</v>
      </c>
      <c r="E26" s="41">
        <f t="shared" si="0"/>
        <v>141543</v>
      </c>
      <c r="F26" s="41">
        <f t="shared" si="0"/>
        <v>146122</v>
      </c>
      <c r="G26" s="41">
        <f t="shared" si="0"/>
        <v>159318.5</v>
      </c>
      <c r="H26" s="41">
        <f t="shared" si="0"/>
        <v>282030</v>
      </c>
      <c r="I26" s="41">
        <f t="shared" si="0"/>
        <v>429634</v>
      </c>
      <c r="J26" s="41" t="str">
        <f t="shared" si="1"/>
        <v>N/A — insufficient comparable disclosure</v>
      </c>
      <c r="K26" s="41" t="str">
        <f t="shared" si="1"/>
        <v>N/A — insufficient comparable disclosure</v>
      </c>
      <c r="L26" s="14"/>
      <c r="M26" s="47" t="s">
        <v>858</v>
      </c>
      <c r="N26" s="47" t="s">
        <v>859</v>
      </c>
      <c r="O26" s="47" t="s">
        <v>860</v>
      </c>
    </row>
    <row r="27" spans="3:15" ht="54" customHeight="1">
      <c r="C27" s="33" t="s">
        <v>861</v>
      </c>
      <c r="D27" s="41">
        <f>IF(AND(ISNUMBER(D20),ISNUMBER(D16)),AVERAGE(D20,D16),"N/A — insufficient comparable data")</f>
        <v>216282.5</v>
      </c>
      <c r="E27" s="41">
        <f t="shared" si="0"/>
        <v>237757</v>
      </c>
      <c r="F27" s="41">
        <f t="shared" si="0"/>
        <v>263482</v>
      </c>
      <c r="G27" s="41">
        <f t="shared" si="0"/>
        <v>277039</v>
      </c>
      <c r="H27" s="41">
        <f t="shared" si="0"/>
        <v>362835</v>
      </c>
      <c r="I27" s="41">
        <f t="shared" si="0"/>
        <v>474349.5</v>
      </c>
      <c r="J27" s="41">
        <f t="shared" si="1"/>
        <v>501226.5</v>
      </c>
      <c r="K27" s="41" t="str">
        <f t="shared" si="1"/>
        <v>N/A — insufficient comparable disclosure</v>
      </c>
      <c r="L27" s="14"/>
      <c r="M27" s="64" t="s">
        <v>815</v>
      </c>
      <c r="N27" s="64" t="s">
        <v>69</v>
      </c>
      <c r="O27" s="64" t="s">
        <v>862</v>
      </c>
    </row>
    <row r="28" spans="3:15" ht="54" customHeight="1">
      <c r="M28" s="48" t="s">
        <v>863</v>
      </c>
      <c r="N28" s="48" t="s">
        <v>756</v>
      </c>
      <c r="O28" s="48" t="s">
        <v>864</v>
      </c>
    </row>
    <row r="29" spans="3:15" ht="72" customHeight="1">
      <c r="C29" s="53" t="s">
        <v>865</v>
      </c>
      <c r="D29" s="54"/>
      <c r="E29" s="54"/>
      <c r="F29" s="54"/>
      <c r="G29" s="54"/>
      <c r="H29" s="54"/>
      <c r="I29" s="54"/>
      <c r="J29" s="54"/>
      <c r="K29" s="55"/>
      <c r="M29" s="48" t="s">
        <v>866</v>
      </c>
      <c r="N29" s="48" t="s">
        <v>867</v>
      </c>
      <c r="O29" s="48" t="s">
        <v>868</v>
      </c>
    </row>
    <row r="30" spans="3:15" ht="54" customHeight="1">
      <c r="C30" s="56" t="s">
        <v>869</v>
      </c>
      <c r="D30" s="57" t="str">
        <f>"N/A — insufficient comparable opening balance"</f>
        <v>N/A — insufficient comparable opening balance</v>
      </c>
      <c r="E30" s="57">
        <f>IF(AND(ISNUMBER(E23),ISNUMBER(E10),E10&lt;&gt;0),E23/E10*365,"N/A — insufficient comparable data")</f>
        <v>79.897168176572521</v>
      </c>
      <c r="F30" s="57">
        <f>IF(AND(ISNUMBER(F23),ISNUMBER(F10),F10&lt;&gt;0),F23/F10*365,"N/A — insufficient comparable data")</f>
        <v>80.313969330535159</v>
      </c>
      <c r="G30" s="57">
        <f>IF(AND(ISNUMBER(G23),ISNUMBER(G10),G10&lt;&gt;0),G23/G10*365,"N/A — insufficient comparable data")</f>
        <v>78.573363399749056</v>
      </c>
      <c r="H30" s="58">
        <f>IF(AND(ISNUMBER(H23),ISNUMBER(H10),H10&lt;&gt;0),H23/H10*365,"N/A — insufficient comparable data")</f>
        <v>87.338167465192356</v>
      </c>
      <c r="I30" s="57">
        <f>IF(AND(ISNUMBER(I23),ISNUMBER(I10),I10&lt;&gt;0),I23/I10*365,"N/A — insufficient comparable data")</f>
        <v>98.239314491708669</v>
      </c>
      <c r="J30" s="57" t="str">
        <f>IF(AND(ISNUMBER(J23),ISNUMBER(J10),J10&lt;&gt;0),J23/J10*365,"N/A — insufficient comparable disclosure")</f>
        <v>N/A — insufficient comparable disclosure</v>
      </c>
      <c r="K30" s="57" t="str">
        <f>IF(AND(ISNUMBER(K23),ISNUMBER(K10),K10&lt;&gt;0),K23/K10*365,"N/A — insufficient comparable disclosure")</f>
        <v>N/A — insufficient comparable disclosure</v>
      </c>
    </row>
    <row r="31" spans="3:15" ht="54" customHeight="1">
      <c r="C31" s="56" t="s">
        <v>870</v>
      </c>
      <c r="D31" s="57">
        <f t="shared" ref="D31:J31" si="2">IF(AND(ISNUMBER(D24),ISNUMBER(D10),D10&lt;&gt;0),D24/D10*365,"N/A — insufficient comparable data")</f>
        <v>13.822890981570282</v>
      </c>
      <c r="E31" s="57">
        <f t="shared" si="2"/>
        <v>12.62045682739782</v>
      </c>
      <c r="F31" s="57">
        <f t="shared" si="2"/>
        <v>13.8783425584972</v>
      </c>
      <c r="G31" s="57">
        <f t="shared" si="2"/>
        <v>14.801709976778142</v>
      </c>
      <c r="H31" s="70">
        <f t="shared" si="2"/>
        <v>11.947374807388268</v>
      </c>
      <c r="I31" s="57">
        <f t="shared" si="2"/>
        <v>11.439024066335318</v>
      </c>
      <c r="J31" s="57">
        <f t="shared" si="2"/>
        <v>13.683680803393868</v>
      </c>
      <c r="K31" s="57" t="str">
        <f>IF(AND(ISNUMBER(K24),ISNUMBER(K10),K10&lt;&gt;0),K24/K10*365,"N/A — insufficient comparable disclosure")</f>
        <v>N/A — insufficient comparable disclosure</v>
      </c>
      <c r="M31" s="53" t="s">
        <v>871</v>
      </c>
      <c r="N31" s="54"/>
    </row>
    <row r="32" spans="3:15" ht="54" customHeight="1">
      <c r="C32" s="80" t="s">
        <v>872</v>
      </c>
      <c r="D32" s="81" t="str">
        <f>"N/A — opening balance not sufficiently comparable"</f>
        <v>N/A — opening balance not sufficiently comparable</v>
      </c>
      <c r="E32" s="81">
        <f t="shared" ref="E32:K32" si="3">IF(AND(ISNUMBER(E25),ISNUMBER(E11),E11&lt;&gt;0),E25/E11*365,"N/A — insufficient comparable data")</f>
        <v>3.1254599230368401</v>
      </c>
      <c r="F32" s="81">
        <f t="shared" si="3"/>
        <v>2.9681667486504395</v>
      </c>
      <c r="G32" s="81">
        <f t="shared" si="3"/>
        <v>3.8822149214458737</v>
      </c>
      <c r="H32" s="82">
        <f t="shared" si="3"/>
        <v>7.2241046158255537</v>
      </c>
      <c r="I32" s="81">
        <f t="shared" si="3"/>
        <v>7.3326270378364029</v>
      </c>
      <c r="J32" s="81">
        <f t="shared" si="3"/>
        <v>5.8345731385093629</v>
      </c>
      <c r="K32" s="81">
        <f t="shared" si="3"/>
        <v>6.4767758787121688</v>
      </c>
      <c r="M32" s="59" t="s">
        <v>782</v>
      </c>
      <c r="N32" s="60" t="s">
        <v>873</v>
      </c>
    </row>
    <row r="33" spans="3:15" ht="54" customHeight="1">
      <c r="C33" s="93" t="s">
        <v>874</v>
      </c>
      <c r="D33" s="94" t="str">
        <f>IF(AND(ISNUMBER(D26),ISNUMBER(D11),D11&lt;&gt;0),D26/D11*365,"N/A — opening balance not sufficiently comparable")</f>
        <v>N/A — opening balance not sufficiently comparable</v>
      </c>
      <c r="E33" s="94">
        <f>IF(AND(ISNUMBER(E26),ISNUMBER(E11),E11&lt;&gt;0),E26/E11*365,"N/A — insufficient comparable data")</f>
        <v>30.487369414314013</v>
      </c>
      <c r="F33" s="94">
        <f>IF(AND(ISNUMBER(F26),ISNUMBER(F11),F11&lt;&gt;0),F26/F11*365,"N/A — insufficient comparable data")</f>
        <v>30.756618916164914</v>
      </c>
      <c r="G33" s="94">
        <f>IF(AND(ISNUMBER(G26),ISNUMBER(G11),G11&lt;&gt;0),G26/G11*365,"N/A — insufficient comparable data")</f>
        <v>30.999055655300058</v>
      </c>
      <c r="H33" s="95">
        <f>IF(AND(ISNUMBER(H26),ISNUMBER(H11),H11&lt;&gt;0),H26/H11*365,"N/A — insufficient comparable data")</f>
        <v>40.086851447147687</v>
      </c>
      <c r="I33" s="94">
        <f>IF(AND(ISNUMBER(I26),ISNUMBER(I11),I11&lt;&gt;0),I26/I11*365,"N/A — insufficient comparable data")</f>
        <v>49.431147379241274</v>
      </c>
      <c r="J33" s="94" t="str">
        <f>IF(AND(ISNUMBER(J26),ISNUMBER(J11),J11&lt;&gt;0),J26/J11*365,"N/A — insufficient comparable disclosure")</f>
        <v>N/A — insufficient comparable disclosure</v>
      </c>
      <c r="K33" s="94" t="str">
        <f>IF(AND(ISNUMBER(K26),ISNUMBER(K11),K11&lt;&gt;0),K26/K11*365,"N/A — insufficient comparable disclosure")</f>
        <v>N/A — insufficient comparable disclosure</v>
      </c>
      <c r="M33" s="45" t="str">
        <f>E$6</f>
        <v>FY2019</v>
      </c>
      <c r="N33" s="66">
        <f>E30</f>
        <v>79.897168176572521</v>
      </c>
    </row>
    <row r="34" spans="3:15" ht="54" customHeight="1">
      <c r="C34" s="93" t="s">
        <v>875</v>
      </c>
      <c r="D34" s="94">
        <f t="shared" ref="D34:J34" si="4">IF(AND(ISNUMBER(D27),ISNUMBER(D10),D10&lt;&gt;0),D27/D10*365,"N/A — insufficient comparable data")</f>
        <v>36.486504130799005</v>
      </c>
      <c r="E34" s="94">
        <f t="shared" si="4"/>
        <v>38.283482765192289</v>
      </c>
      <c r="F34" s="94">
        <f t="shared" si="4"/>
        <v>41.476979356162055</v>
      </c>
      <c r="G34" s="94">
        <f t="shared" si="4"/>
        <v>39.624984227475458</v>
      </c>
      <c r="H34" s="95">
        <f t="shared" si="4"/>
        <v>37.944948143105428</v>
      </c>
      <c r="I34" s="94">
        <f t="shared" si="4"/>
        <v>39.643284989399838</v>
      </c>
      <c r="J34" s="94">
        <f t="shared" si="4"/>
        <v>39.439248986951362</v>
      </c>
      <c r="K34" s="94" t="str">
        <f>IF(AND(ISNUMBER(K27),ISNUMBER(K10),K10&lt;&gt;0),K27/K10*365,"N/A — insufficient comparable disclosure")</f>
        <v>N/A — insufficient comparable disclosure</v>
      </c>
      <c r="M34" s="46" t="str">
        <f>F$6</f>
        <v>FY2020</v>
      </c>
      <c r="N34" s="67">
        <f>F30</f>
        <v>80.313969330535159</v>
      </c>
    </row>
    <row r="35" spans="3:15">
      <c r="C35" s="92" t="s">
        <v>876</v>
      </c>
      <c r="D35" s="92"/>
      <c r="E35" s="92"/>
      <c r="F35" s="92"/>
      <c r="M35" s="46" t="str">
        <f>G$6</f>
        <v>FY2021</v>
      </c>
      <c r="N35" s="67">
        <f>G30</f>
        <v>78.573363399749056</v>
      </c>
    </row>
    <row r="36" spans="3:15">
      <c r="M36" s="68" t="str">
        <f>H$6</f>
        <v>FY2022</v>
      </c>
      <c r="N36" s="69">
        <f>H30</f>
        <v>87.338167465192356</v>
      </c>
    </row>
    <row r="37" spans="3:15">
      <c r="M37" s="46" t="str">
        <f>I$6</f>
        <v>FY2023</v>
      </c>
      <c r="N37" s="67">
        <f>I30</f>
        <v>98.239314491708669</v>
      </c>
    </row>
    <row r="39" spans="3:15" ht="22" customHeight="1">
      <c r="M39" s="71" t="s">
        <v>877</v>
      </c>
      <c r="N39" s="72"/>
      <c r="O39" s="73"/>
    </row>
    <row r="40" spans="3:15">
      <c r="M40" s="74" t="s">
        <v>678</v>
      </c>
      <c r="N40" s="75" t="s">
        <v>811</v>
      </c>
      <c r="O40" s="76" t="s">
        <v>856</v>
      </c>
    </row>
    <row r="41" spans="3:15" ht="60" customHeight="1">
      <c r="M41" s="47" t="s">
        <v>878</v>
      </c>
      <c r="N41" s="47" t="s">
        <v>859</v>
      </c>
      <c r="O41" s="47" t="s">
        <v>879</v>
      </c>
    </row>
    <row r="42" spans="3:15" ht="60" customHeight="1">
      <c r="M42" s="48" t="s">
        <v>880</v>
      </c>
      <c r="N42" s="48" t="s">
        <v>65</v>
      </c>
      <c r="O42" s="48" t="s">
        <v>881</v>
      </c>
    </row>
    <row r="43" spans="3:15" ht="60" customHeight="1">
      <c r="M43" s="77" t="s">
        <v>815</v>
      </c>
      <c r="N43" s="77" t="s">
        <v>69</v>
      </c>
      <c r="O43" s="77" t="s">
        <v>882</v>
      </c>
    </row>
    <row r="44" spans="3:15" ht="60" customHeight="1">
      <c r="M44" s="48" t="s">
        <v>883</v>
      </c>
      <c r="N44" s="48" t="s">
        <v>72</v>
      </c>
      <c r="O44" s="48" t="s">
        <v>884</v>
      </c>
    </row>
    <row r="45" spans="3:15" ht="60" customHeight="1">
      <c r="M45" s="48" t="s">
        <v>885</v>
      </c>
      <c r="N45" s="48" t="s">
        <v>886</v>
      </c>
      <c r="O45" s="48" t="s">
        <v>887</v>
      </c>
    </row>
    <row r="46" spans="3:15" ht="86" customHeight="1">
      <c r="M46" s="48" t="s">
        <v>866</v>
      </c>
      <c r="N46" s="48" t="s">
        <v>888</v>
      </c>
      <c r="O46" s="48" t="s">
        <v>889</v>
      </c>
    </row>
    <row r="48" spans="3:15" ht="22" customHeight="1">
      <c r="M48" s="71" t="s">
        <v>890</v>
      </c>
      <c r="N48" s="72"/>
      <c r="O48" s="73"/>
    </row>
    <row r="49" spans="3:15">
      <c r="M49" s="74" t="s">
        <v>782</v>
      </c>
      <c r="N49" s="76" t="s">
        <v>870</v>
      </c>
    </row>
    <row r="50" spans="3:15">
      <c r="M50" s="45" t="str">
        <f>D$6</f>
        <v>FY2018</v>
      </c>
      <c r="N50" s="66">
        <f>D31</f>
        <v>13.822890981570282</v>
      </c>
    </row>
    <row r="51" spans="3:15">
      <c r="M51" s="46" t="str">
        <f>E$6</f>
        <v>FY2019</v>
      </c>
      <c r="N51" s="67">
        <f>E31</f>
        <v>12.62045682739782</v>
      </c>
    </row>
    <row r="52" spans="3:15">
      <c r="M52" s="46" t="str">
        <f>F$6</f>
        <v>FY2020</v>
      </c>
      <c r="N52" s="67">
        <f>F31</f>
        <v>13.8783425584972</v>
      </c>
    </row>
    <row r="53" spans="3:15">
      <c r="M53" s="46" t="str">
        <f>G$6</f>
        <v>FY2021</v>
      </c>
      <c r="N53" s="67">
        <f>G31</f>
        <v>14.801709976778142</v>
      </c>
    </row>
    <row r="54" spans="3:15">
      <c r="C54" s="92" t="s">
        <v>876</v>
      </c>
      <c r="D54" s="92"/>
      <c r="E54" s="92"/>
      <c r="F54" s="92"/>
      <c r="M54" s="78" t="str">
        <f>H$6</f>
        <v>FY2022</v>
      </c>
      <c r="N54" s="79">
        <f>H31</f>
        <v>11.947374807388268</v>
      </c>
    </row>
    <row r="55" spans="3:15">
      <c r="M55" s="46" t="str">
        <f>I$6</f>
        <v>FY2023</v>
      </c>
      <c r="N55" s="67">
        <f>I31</f>
        <v>11.439024066335318</v>
      </c>
    </row>
    <row r="56" spans="3:15">
      <c r="M56" s="46" t="str">
        <f>J$6</f>
        <v>FY2024</v>
      </c>
      <c r="N56" s="67">
        <f>J31</f>
        <v>13.683680803393868</v>
      </c>
    </row>
    <row r="58" spans="3:15" ht="22" customHeight="1">
      <c r="M58" s="83" t="s">
        <v>891</v>
      </c>
      <c r="N58" s="84"/>
      <c r="O58" s="85"/>
    </row>
    <row r="59" spans="3:15">
      <c r="M59" s="86" t="s">
        <v>678</v>
      </c>
      <c r="N59" s="87" t="s">
        <v>811</v>
      </c>
      <c r="O59" s="88" t="s">
        <v>856</v>
      </c>
    </row>
    <row r="60" spans="3:15" ht="60" customHeight="1">
      <c r="M60" s="47" t="s">
        <v>878</v>
      </c>
      <c r="N60" s="47" t="s">
        <v>859</v>
      </c>
      <c r="O60" s="47" t="s">
        <v>892</v>
      </c>
    </row>
    <row r="61" spans="3:15" ht="60" customHeight="1">
      <c r="M61" s="48" t="s">
        <v>893</v>
      </c>
      <c r="N61" s="48" t="s">
        <v>65</v>
      </c>
      <c r="O61" s="48" t="s">
        <v>894</v>
      </c>
    </row>
    <row r="62" spans="3:15" ht="60" customHeight="1">
      <c r="M62" s="89" t="s">
        <v>815</v>
      </c>
      <c r="N62" s="89" t="s">
        <v>69</v>
      </c>
      <c r="O62" s="89" t="s">
        <v>895</v>
      </c>
    </row>
    <row r="63" spans="3:15" ht="78" customHeight="1">
      <c r="M63" s="48" t="s">
        <v>866</v>
      </c>
      <c r="N63" s="48" t="s">
        <v>896</v>
      </c>
      <c r="O63" s="48" t="s">
        <v>897</v>
      </c>
    </row>
    <row r="65" spans="3:15" ht="22" customHeight="1">
      <c r="M65" s="83" t="s">
        <v>898</v>
      </c>
      <c r="N65" s="84"/>
      <c r="O65" s="85"/>
    </row>
    <row r="66" spans="3:15">
      <c r="M66" s="86" t="s">
        <v>782</v>
      </c>
      <c r="N66" s="88" t="s">
        <v>899</v>
      </c>
    </row>
    <row r="67" spans="3:15">
      <c r="M67" s="45" t="str">
        <f>E$6</f>
        <v>FY2019</v>
      </c>
      <c r="N67" s="66">
        <f>E32</f>
        <v>3.1254599230368401</v>
      </c>
    </row>
    <row r="68" spans="3:15">
      <c r="M68" s="46" t="str">
        <f>F$6</f>
        <v>FY2020</v>
      </c>
      <c r="N68" s="67">
        <f>F32</f>
        <v>2.9681667486504395</v>
      </c>
    </row>
    <row r="69" spans="3:15">
      <c r="M69" s="46" t="str">
        <f>G$6</f>
        <v>FY2021</v>
      </c>
      <c r="N69" s="67">
        <f>G32</f>
        <v>3.8822149214458737</v>
      </c>
    </row>
    <row r="70" spans="3:15">
      <c r="M70" s="90" t="str">
        <f>H$6</f>
        <v>FY2022</v>
      </c>
      <c r="N70" s="91">
        <f>H32</f>
        <v>7.2241046158255537</v>
      </c>
    </row>
    <row r="71" spans="3:15">
      <c r="M71" s="46" t="str">
        <f>I$6</f>
        <v>FY2023</v>
      </c>
      <c r="N71" s="67">
        <f>I32</f>
        <v>7.3326270378364029</v>
      </c>
    </row>
    <row r="72" spans="3:15">
      <c r="M72" s="46" t="str">
        <f>J$6</f>
        <v>FY2024</v>
      </c>
      <c r="N72" s="67">
        <f>J32</f>
        <v>5.8345731385093629</v>
      </c>
    </row>
    <row r="73" spans="3:15">
      <c r="C73" s="92" t="s">
        <v>876</v>
      </c>
      <c r="D73" s="92"/>
      <c r="E73" s="92"/>
      <c r="F73" s="92"/>
      <c r="M73" s="46" t="str">
        <f>K$6</f>
        <v>FY2025</v>
      </c>
      <c r="N73" s="67">
        <f>K32</f>
        <v>6.4767758787121688</v>
      </c>
    </row>
    <row r="75" spans="3:15" ht="22" customHeight="1">
      <c r="M75" s="96" t="s">
        <v>900</v>
      </c>
      <c r="N75" s="97"/>
      <c r="O75" s="98"/>
    </row>
    <row r="76" spans="3:15">
      <c r="M76" s="99" t="s">
        <v>678</v>
      </c>
      <c r="N76" s="100" t="s">
        <v>811</v>
      </c>
      <c r="O76" s="101" t="s">
        <v>856</v>
      </c>
    </row>
    <row r="77" spans="3:15" ht="60" customHeight="1">
      <c r="M77" s="47" t="s">
        <v>878</v>
      </c>
      <c r="N77" s="47" t="s">
        <v>859</v>
      </c>
      <c r="O77" s="47" t="s">
        <v>901</v>
      </c>
    </row>
    <row r="78" spans="3:15" ht="60" customHeight="1">
      <c r="M78" s="48" t="s">
        <v>902</v>
      </c>
      <c r="N78" s="48" t="s">
        <v>822</v>
      </c>
      <c r="O78" s="48" t="s">
        <v>903</v>
      </c>
    </row>
    <row r="79" spans="3:15" ht="60" customHeight="1">
      <c r="M79" s="102" t="s">
        <v>815</v>
      </c>
      <c r="N79" s="102" t="s">
        <v>69</v>
      </c>
      <c r="O79" s="102" t="s">
        <v>904</v>
      </c>
    </row>
    <row r="80" spans="3:15" ht="60" customHeight="1">
      <c r="M80" s="48" t="s">
        <v>905</v>
      </c>
      <c r="N80" s="48" t="s">
        <v>867</v>
      </c>
      <c r="O80" s="48" t="s">
        <v>906</v>
      </c>
    </row>
    <row r="82" spans="3:15" ht="22" customHeight="1">
      <c r="M82" s="96" t="s">
        <v>907</v>
      </c>
      <c r="N82" s="97"/>
      <c r="O82" s="98"/>
    </row>
    <row r="83" spans="3:15">
      <c r="M83" s="99" t="s">
        <v>678</v>
      </c>
      <c r="N83" s="100" t="s">
        <v>811</v>
      </c>
      <c r="O83" s="101" t="s">
        <v>856</v>
      </c>
    </row>
    <row r="84" spans="3:15" ht="60" customHeight="1">
      <c r="M84" s="47" t="s">
        <v>878</v>
      </c>
      <c r="N84" s="47" t="s">
        <v>859</v>
      </c>
      <c r="O84" s="47" t="s">
        <v>908</v>
      </c>
    </row>
    <row r="85" spans="3:15" ht="60" customHeight="1">
      <c r="M85" s="48" t="s">
        <v>880</v>
      </c>
      <c r="N85" s="48" t="s">
        <v>65</v>
      </c>
      <c r="O85" s="48" t="s">
        <v>909</v>
      </c>
    </row>
    <row r="86" spans="3:15" ht="60" customHeight="1">
      <c r="M86" s="48" t="s">
        <v>910</v>
      </c>
      <c r="N86" s="48" t="s">
        <v>822</v>
      </c>
      <c r="O86" s="48" t="s">
        <v>911</v>
      </c>
    </row>
    <row r="87" spans="3:15" ht="60" customHeight="1">
      <c r="M87" s="102" t="s">
        <v>815</v>
      </c>
      <c r="N87" s="102" t="s">
        <v>69</v>
      </c>
      <c r="O87" s="102" t="s">
        <v>912</v>
      </c>
    </row>
    <row r="88" spans="3:15" ht="60" customHeight="1">
      <c r="M88" s="48" t="s">
        <v>905</v>
      </c>
      <c r="N88" s="48" t="s">
        <v>888</v>
      </c>
      <c r="O88" s="48" t="s">
        <v>913</v>
      </c>
    </row>
    <row r="91" spans="3:15" ht="22" customHeight="1">
      <c r="M91" s="96" t="s">
        <v>914</v>
      </c>
      <c r="N91" s="97"/>
      <c r="O91" s="98"/>
    </row>
    <row r="92" spans="3:15" ht="22" customHeight="1">
      <c r="C92" s="96" t="s">
        <v>915</v>
      </c>
      <c r="D92" s="97"/>
      <c r="E92" s="97"/>
      <c r="F92" s="97"/>
      <c r="G92" s="97"/>
      <c r="H92" s="97"/>
      <c r="I92" s="97"/>
      <c r="J92" s="97"/>
      <c r="K92" s="98"/>
      <c r="M92" s="99" t="s">
        <v>678</v>
      </c>
      <c r="N92" s="100" t="s">
        <v>811</v>
      </c>
      <c r="O92" s="101" t="s">
        <v>856</v>
      </c>
    </row>
    <row r="93" spans="3:15" ht="60" customHeight="1">
      <c r="C93" s="93" t="s">
        <v>916</v>
      </c>
      <c r="D93" s="94" t="str">
        <f t="shared" ref="D93:K93" si="5">IF(AND(ISNUMBER(D30),ISNUMBER(D32),ISNUMBER(D33)),D30+D32-D33,"N/A — incomplete comparable components")</f>
        <v>N/A — incomplete comparable components</v>
      </c>
      <c r="E93" s="94">
        <f t="shared" si="5"/>
        <v>52.535258685295346</v>
      </c>
      <c r="F93" s="94">
        <f t="shared" si="5"/>
        <v>52.52551716302068</v>
      </c>
      <c r="G93" s="94">
        <f t="shared" si="5"/>
        <v>51.45652266589488</v>
      </c>
      <c r="H93" s="95">
        <f t="shared" si="5"/>
        <v>54.475420633870222</v>
      </c>
      <c r="I93" s="94">
        <f t="shared" si="5"/>
        <v>56.140794150303797</v>
      </c>
      <c r="J93" s="94" t="str">
        <f t="shared" si="5"/>
        <v>N/A — incomplete comparable components</v>
      </c>
      <c r="K93" s="94" t="str">
        <f t="shared" si="5"/>
        <v>N/A — incomplete comparable components</v>
      </c>
      <c r="M93" s="47" t="s">
        <v>917</v>
      </c>
      <c r="N93" s="47" t="s">
        <v>822</v>
      </c>
      <c r="O93" s="47" t="s">
        <v>918</v>
      </c>
    </row>
    <row r="94" spans="3:15" ht="60" customHeight="1">
      <c r="C94" s="93" t="s">
        <v>919</v>
      </c>
      <c r="D94" s="94" t="str">
        <f t="shared" ref="D94:K94" si="6">IF(AND(ISNUMBER(D30),ISNUMBER(D31),ISNUMBER(D32),ISNUMBER(D33),ISNUMBER(D34)),D30+D31+D32-D33-D34,"N/A — incomplete comparable components")</f>
        <v>N/A — incomplete comparable components</v>
      </c>
      <c r="E94" s="94">
        <f t="shared" si="6"/>
        <v>26.872232747500874</v>
      </c>
      <c r="F94" s="94">
        <f t="shared" si="6"/>
        <v>24.926880365355821</v>
      </c>
      <c r="G94" s="94">
        <f t="shared" si="6"/>
        <v>26.633248415197563</v>
      </c>
      <c r="H94" s="95">
        <f t="shared" si="6"/>
        <v>28.477847298153073</v>
      </c>
      <c r="I94" s="94">
        <f t="shared" si="6"/>
        <v>27.936533227239288</v>
      </c>
      <c r="J94" s="94" t="str">
        <f t="shared" si="6"/>
        <v>N/A — incomplete comparable components</v>
      </c>
      <c r="K94" s="94" t="str">
        <f t="shared" si="6"/>
        <v>N/A — incomplete comparable components</v>
      </c>
      <c r="M94" s="48" t="s">
        <v>920</v>
      </c>
      <c r="N94" s="48" t="s">
        <v>867</v>
      </c>
      <c r="O94" s="48" t="s">
        <v>921</v>
      </c>
    </row>
    <row r="95" spans="3:15" ht="60" customHeight="1">
      <c r="C95" s="92" t="s">
        <v>876</v>
      </c>
      <c r="D95" s="92"/>
      <c r="E95" s="92"/>
      <c r="F95" s="92"/>
      <c r="M95" s="102" t="s">
        <v>815</v>
      </c>
      <c r="N95" s="102" t="s">
        <v>69</v>
      </c>
      <c r="O95" s="102" t="s">
        <v>922</v>
      </c>
    </row>
    <row r="96" spans="3:15" ht="60" customHeight="1">
      <c r="M96" s="48" t="s">
        <v>923</v>
      </c>
      <c r="N96" s="48" t="s">
        <v>859</v>
      </c>
      <c r="O96" s="48" t="s">
        <v>924</v>
      </c>
    </row>
    <row r="98" spans="3:15" ht="22" customHeight="1">
      <c r="C98" s="96" t="s">
        <v>925</v>
      </c>
      <c r="D98" s="97"/>
      <c r="E98" s="97"/>
      <c r="F98" s="97"/>
      <c r="G98" s="97"/>
      <c r="H98" s="97"/>
      <c r="I98" s="97"/>
      <c r="J98" s="97"/>
      <c r="K98" s="98"/>
      <c r="M98" s="96" t="s">
        <v>926</v>
      </c>
      <c r="N98" s="97"/>
      <c r="O98" s="98"/>
    </row>
    <row r="99" spans="3:15">
      <c r="C99" s="99" t="str">
        <f>"Fiscal Year"</f>
        <v>Fiscal Year</v>
      </c>
      <c r="D99" s="100" t="str">
        <f t="shared" ref="D99:K99" si="7">D$6</f>
        <v>FY2018</v>
      </c>
      <c r="E99" s="100" t="str">
        <f t="shared" si="7"/>
        <v>FY2019</v>
      </c>
      <c r="F99" s="100" t="str">
        <f t="shared" si="7"/>
        <v>FY2020</v>
      </c>
      <c r="G99" s="100" t="str">
        <f t="shared" si="7"/>
        <v>FY2021</v>
      </c>
      <c r="H99" s="100" t="str">
        <f t="shared" si="7"/>
        <v>FY2022</v>
      </c>
      <c r="I99" s="100" t="str">
        <f t="shared" si="7"/>
        <v>FY2023</v>
      </c>
      <c r="J99" s="100" t="str">
        <f t="shared" si="7"/>
        <v>FY2024</v>
      </c>
      <c r="K99" s="101" t="str">
        <f t="shared" si="7"/>
        <v>FY2025</v>
      </c>
      <c r="M99" s="99" t="s">
        <v>678</v>
      </c>
      <c r="N99" s="100" t="s">
        <v>811</v>
      </c>
      <c r="O99" s="101" t="s">
        <v>856</v>
      </c>
    </row>
    <row r="100" spans="3:15" ht="60" customHeight="1">
      <c r="C100" s="103" t="s">
        <v>824</v>
      </c>
      <c r="D100" s="112">
        <f t="shared" ref="D100:K104" si="8">D12</f>
        <v>489398</v>
      </c>
      <c r="E100" s="112">
        <f t="shared" si="8"/>
        <v>502994</v>
      </c>
      <c r="F100" s="112">
        <f t="shared" si="8"/>
        <v>517393</v>
      </c>
      <c r="G100" s="112">
        <f t="shared" si="8"/>
        <v>581302</v>
      </c>
      <c r="H100" s="118">
        <f t="shared" si="8"/>
        <v>1088978</v>
      </c>
      <c r="I100" s="112">
        <f t="shared" si="8"/>
        <v>1261976</v>
      </c>
      <c r="J100" s="112" t="str">
        <f t="shared" si="8"/>
        <v>N/A — Insufficient public information to isolate reliably</v>
      </c>
      <c r="K100" s="112" t="str">
        <f t="shared" si="8"/>
        <v>N/A — Insufficient public information to isolate reliably</v>
      </c>
      <c r="M100" s="47" t="s">
        <v>927</v>
      </c>
      <c r="N100" s="47" t="s">
        <v>859</v>
      </c>
      <c r="O100" s="47" t="s">
        <v>928</v>
      </c>
    </row>
    <row r="101" spans="3:15" ht="60" customHeight="1">
      <c r="C101" s="111" t="s">
        <v>827</v>
      </c>
      <c r="D101" s="113">
        <f t="shared" si="8"/>
        <v>81929</v>
      </c>
      <c r="E101" s="113">
        <f t="shared" si="8"/>
        <v>74828</v>
      </c>
      <c r="F101" s="113">
        <f t="shared" si="8"/>
        <v>101496</v>
      </c>
      <c r="G101" s="113">
        <f t="shared" si="8"/>
        <v>105477</v>
      </c>
      <c r="H101" s="119">
        <f t="shared" si="8"/>
        <v>123008</v>
      </c>
      <c r="I101" s="113">
        <f t="shared" si="8"/>
        <v>150738</v>
      </c>
      <c r="J101" s="113">
        <f t="shared" si="8"/>
        <v>197069</v>
      </c>
      <c r="K101" s="113" t="str">
        <f t="shared" si="8"/>
        <v>N/A — Insufficient public information to isolate reliably</v>
      </c>
      <c r="M101" s="48" t="s">
        <v>929</v>
      </c>
      <c r="N101" s="48" t="s">
        <v>822</v>
      </c>
      <c r="O101" s="48" t="s">
        <v>930</v>
      </c>
    </row>
    <row r="102" spans="3:15" ht="60" customHeight="1">
      <c r="C102" s="111" t="s">
        <v>830</v>
      </c>
      <c r="D102" s="113">
        <f t="shared" si="8"/>
        <v>15294</v>
      </c>
      <c r="E102" s="113">
        <f t="shared" si="8"/>
        <v>13727</v>
      </c>
      <c r="F102" s="113">
        <f t="shared" si="8"/>
        <v>14476</v>
      </c>
      <c r="G102" s="113">
        <f t="shared" si="8"/>
        <v>25429</v>
      </c>
      <c r="H102" s="119">
        <f t="shared" si="8"/>
        <v>76221</v>
      </c>
      <c r="I102" s="113">
        <f t="shared" si="8"/>
        <v>51243</v>
      </c>
      <c r="J102" s="113">
        <f t="shared" si="8"/>
        <v>55900</v>
      </c>
      <c r="K102" s="113">
        <f t="shared" si="8"/>
        <v>69100</v>
      </c>
      <c r="M102" s="102" t="s">
        <v>815</v>
      </c>
      <c r="N102" s="102" t="s">
        <v>69</v>
      </c>
      <c r="O102" s="102" t="s">
        <v>931</v>
      </c>
    </row>
    <row r="103" spans="3:15" ht="60" customHeight="1">
      <c r="C103" s="111" t="s">
        <v>932</v>
      </c>
      <c r="D103" s="113">
        <f t="shared" si="8"/>
        <v>144862</v>
      </c>
      <c r="E103" s="113">
        <f t="shared" si="8"/>
        <v>138224</v>
      </c>
      <c r="F103" s="113">
        <f t="shared" si="8"/>
        <v>154020</v>
      </c>
      <c r="G103" s="113">
        <f t="shared" si="8"/>
        <v>164617</v>
      </c>
      <c r="H103" s="119">
        <f t="shared" si="8"/>
        <v>399443</v>
      </c>
      <c r="I103" s="113">
        <f t="shared" si="8"/>
        <v>459825</v>
      </c>
      <c r="J103" s="113" t="str">
        <f t="shared" si="8"/>
        <v>N/A — Insufficient public information to isolate reliably</v>
      </c>
      <c r="K103" s="113" t="str">
        <f t="shared" si="8"/>
        <v>N/A — Insufficient public information to isolate reliably</v>
      </c>
      <c r="M103" s="48" t="s">
        <v>920</v>
      </c>
      <c r="N103" s="48" t="s">
        <v>933</v>
      </c>
      <c r="O103" s="48" t="s">
        <v>934</v>
      </c>
    </row>
    <row r="104" spans="3:15" ht="60" customHeight="1">
      <c r="C104" s="111" t="s">
        <v>935</v>
      </c>
      <c r="D104" s="113">
        <f t="shared" si="8"/>
        <v>218774</v>
      </c>
      <c r="E104" s="113">
        <f t="shared" si="8"/>
        <v>256740</v>
      </c>
      <c r="F104" s="113">
        <f t="shared" si="8"/>
        <v>270224</v>
      </c>
      <c r="G104" s="113">
        <f t="shared" si="8"/>
        <v>283854</v>
      </c>
      <c r="H104" s="119">
        <f t="shared" si="8"/>
        <v>441816</v>
      </c>
      <c r="I104" s="113">
        <f t="shared" si="8"/>
        <v>506883</v>
      </c>
      <c r="J104" s="113">
        <f t="shared" si="8"/>
        <v>495570</v>
      </c>
      <c r="K104" s="113" t="str">
        <f t="shared" si="8"/>
        <v>N/A — Insufficient public information to isolate reliably</v>
      </c>
      <c r="M104" s="48" t="s">
        <v>936</v>
      </c>
      <c r="N104" s="48" t="s">
        <v>859</v>
      </c>
      <c r="O104" s="48" t="s">
        <v>937</v>
      </c>
    </row>
    <row r="105" spans="3:15" ht="40" customHeight="1">
      <c r="C105" s="114" t="s">
        <v>938</v>
      </c>
      <c r="D105" s="115">
        <f t="shared" ref="D105:K105" si="9">IF(AND(ISNUMBER(D100),ISNUMBER(D101),ISNUMBER(D102),ISNUMBER(D103),ISNUMBER(D104)),D100+D101+D102-D103-D104,"N/A — incomplete comparable operating working-capital components")</f>
        <v>222985</v>
      </c>
      <c r="E105" s="115">
        <f t="shared" si="9"/>
        <v>196585</v>
      </c>
      <c r="F105" s="115">
        <f t="shared" si="9"/>
        <v>209121</v>
      </c>
      <c r="G105" s="115">
        <f t="shared" si="9"/>
        <v>263737</v>
      </c>
      <c r="H105" s="120">
        <f t="shared" si="9"/>
        <v>446948</v>
      </c>
      <c r="I105" s="115">
        <f t="shared" si="9"/>
        <v>497249</v>
      </c>
      <c r="J105" s="115" t="str">
        <f t="shared" si="9"/>
        <v>N/A — incomplete comparable operating working-capital components</v>
      </c>
      <c r="K105" s="115" t="str">
        <f t="shared" si="9"/>
        <v>N/A — incomplete comparable operating working-capital components</v>
      </c>
    </row>
    <row r="106" spans="3:15" ht="40" customHeight="1">
      <c r="C106" s="111" t="s">
        <v>817</v>
      </c>
      <c r="D106" s="113">
        <f t="shared" ref="D106:K106" si="10">D10</f>
        <v>2163625</v>
      </c>
      <c r="E106" s="113">
        <f t="shared" si="10"/>
        <v>2266808</v>
      </c>
      <c r="F106" s="113">
        <f t="shared" si="10"/>
        <v>2318658</v>
      </c>
      <c r="G106" s="113">
        <f t="shared" si="10"/>
        <v>2551906</v>
      </c>
      <c r="H106" s="119">
        <f t="shared" si="10"/>
        <v>3490182</v>
      </c>
      <c r="I106" s="113">
        <f t="shared" si="10"/>
        <v>4367387</v>
      </c>
      <c r="J106" s="113">
        <f t="shared" si="10"/>
        <v>4638721</v>
      </c>
      <c r="K106" s="113">
        <f t="shared" si="10"/>
        <v>5004600</v>
      </c>
    </row>
    <row r="107" spans="3:15" ht="22" customHeight="1">
      <c r="C107" s="116" t="s">
        <v>939</v>
      </c>
      <c r="D107" s="117">
        <f t="shared" ref="D107:K107" si="11">IF(AND(ISNUMBER(D105),ISNUMBER(D106),D106&lt;&gt;0),D105/D106,"N/A — incomplete comparable operating working-capital components")</f>
        <v>0.10306083540354728</v>
      </c>
      <c r="E107" s="117">
        <f t="shared" si="11"/>
        <v>8.6723269019696417E-2</v>
      </c>
      <c r="F107" s="117">
        <f t="shared" si="11"/>
        <v>9.0190532627062725E-2</v>
      </c>
      <c r="G107" s="117">
        <f t="shared" si="11"/>
        <v>0.10334902617886396</v>
      </c>
      <c r="H107" s="121">
        <f t="shared" si="11"/>
        <v>0.12805865138264996</v>
      </c>
      <c r="I107" s="117">
        <f t="shared" si="11"/>
        <v>0.11385503505872047</v>
      </c>
      <c r="J107" s="117" t="str">
        <f t="shared" si="11"/>
        <v>N/A — incomplete comparable operating working-capital components</v>
      </c>
      <c r="K107" s="117" t="str">
        <f t="shared" si="11"/>
        <v>N/A — incomplete comparable operating working-capital components</v>
      </c>
      <c r="M107" s="96" t="s">
        <v>940</v>
      </c>
      <c r="N107" s="97"/>
      <c r="O107" s="98"/>
    </row>
    <row r="108" spans="3:15">
      <c r="M108" s="99" t="s">
        <v>678</v>
      </c>
      <c r="N108" s="100" t="s">
        <v>811</v>
      </c>
      <c r="O108" s="101" t="s">
        <v>856</v>
      </c>
    </row>
    <row r="109" spans="3:15" ht="60" customHeight="1">
      <c r="M109" s="47" t="s">
        <v>941</v>
      </c>
      <c r="N109" s="47" t="s">
        <v>888</v>
      </c>
      <c r="O109" s="47" t="s">
        <v>942</v>
      </c>
    </row>
    <row r="110" spans="3:15" ht="60" customHeight="1">
      <c r="C110" s="96" t="s">
        <v>943</v>
      </c>
      <c r="D110" s="97"/>
      <c r="E110" s="97"/>
      <c r="F110" s="97"/>
      <c r="G110" s="97"/>
      <c r="H110" s="97"/>
      <c r="I110" s="97"/>
      <c r="J110" s="97"/>
      <c r="K110" s="98"/>
      <c r="M110" s="48" t="s">
        <v>944</v>
      </c>
      <c r="N110" s="48" t="s">
        <v>859</v>
      </c>
      <c r="O110" s="48" t="s">
        <v>945</v>
      </c>
    </row>
    <row r="111" spans="3:15" ht="60" customHeight="1">
      <c r="C111" s="99" t="str">
        <f>"Fiscal Year"</f>
        <v>Fiscal Year</v>
      </c>
      <c r="D111" s="100" t="str">
        <f t="shared" ref="D111:K111" si="12">D$6</f>
        <v>FY2018</v>
      </c>
      <c r="E111" s="100" t="str">
        <f t="shared" si="12"/>
        <v>FY2019</v>
      </c>
      <c r="F111" s="100" t="str">
        <f t="shared" si="12"/>
        <v>FY2020</v>
      </c>
      <c r="G111" s="100" t="str">
        <f t="shared" si="12"/>
        <v>FY2021</v>
      </c>
      <c r="H111" s="100" t="str">
        <f t="shared" si="12"/>
        <v>FY2022</v>
      </c>
      <c r="I111" s="100" t="str">
        <f t="shared" si="12"/>
        <v>FY2023</v>
      </c>
      <c r="J111" s="100" t="str">
        <f t="shared" si="12"/>
        <v>FY2024</v>
      </c>
      <c r="K111" s="101" t="str">
        <f t="shared" si="12"/>
        <v>FY2025</v>
      </c>
      <c r="M111" s="48" t="s">
        <v>946</v>
      </c>
      <c r="N111" s="48" t="s">
        <v>859</v>
      </c>
      <c r="O111" s="48" t="s">
        <v>947</v>
      </c>
    </row>
    <row r="112" spans="3:15" ht="60" customHeight="1">
      <c r="C112" s="103" t="s">
        <v>948</v>
      </c>
      <c r="D112" s="132">
        <f>IF('Cash Flow'!G6="","N/A — source data unavailable",'Cash Flow'!G6)</f>
        <v>242000</v>
      </c>
      <c r="E112" s="132">
        <f>IF('Cash Flow'!H6="","N/A — source data unavailable",'Cash Flow'!H6)</f>
        <v>280000</v>
      </c>
      <c r="F112" s="132">
        <f>IF('Cash Flow'!I6="","N/A — source data unavailable",'Cash Flow'!I6)</f>
        <v>352500</v>
      </c>
      <c r="G112" s="132">
        <f>IF('Cash Flow'!J6="","N/A — source data unavailable",'Cash Flow'!J6)</f>
        <v>310400</v>
      </c>
      <c r="H112" s="134">
        <f>IF('Cash Flow'!K6="","N/A — source data unavailable",'Cash Flow'!K6)</f>
        <v>350600</v>
      </c>
      <c r="I112" s="132">
        <f>IF('Cash Flow'!L6="","N/A — source data unavailable",'Cash Flow'!L6)</f>
        <v>498789</v>
      </c>
      <c r="J112" s="132">
        <f>IF('Cash Flow'!M6="","N/A — source data unavailable",'Cash Flow'!M6)</f>
        <v>397148</v>
      </c>
      <c r="K112" s="132" t="str">
        <f>IF('Cash Flow'!N6="","N/A — source data unavailable",'Cash Flow'!N6)</f>
        <v>N/A — Not disclosed</v>
      </c>
      <c r="M112" s="48" t="s">
        <v>949</v>
      </c>
      <c r="N112" s="48" t="s">
        <v>859</v>
      </c>
      <c r="O112" s="48" t="s">
        <v>950</v>
      </c>
    </row>
    <row r="113" spans="3:15" ht="60" customHeight="1">
      <c r="C113" s="111" t="s">
        <v>98</v>
      </c>
      <c r="D113" s="133">
        <f>IF('NTT DATA Financials'!G11="","N/A — source data unavailable",'NTT DATA Financials'!G11)</f>
        <v>308400</v>
      </c>
      <c r="E113" s="133">
        <f>IF('NTT DATA Financials'!H11="","N/A — source data unavailable",'NTT DATA Financials'!H11)</f>
        <v>295700</v>
      </c>
      <c r="F113" s="133">
        <f>IF('NTT DATA Financials'!I11="","N/A — source data unavailable",'NTT DATA Financials'!I11)</f>
        <v>320300</v>
      </c>
      <c r="G113" s="133">
        <f>IF('NTT DATA Financials'!J11="","N/A — source data unavailable",'NTT DATA Financials'!J11)</f>
        <v>394900</v>
      </c>
      <c r="H113" s="135">
        <f>IF('NTT DATA Financials'!K11="","N/A — source data unavailable",'NTT DATA Financials'!K11)</f>
        <v>482200</v>
      </c>
      <c r="I113" s="133">
        <f>IF('NTT DATA Financials'!L11="","N/A — source data unavailable",'NTT DATA Financials'!L11)</f>
        <v>591400</v>
      </c>
      <c r="J113" s="133">
        <f>IF('NTT DATA Financials'!M11="","N/A — source data unavailable",'NTT DATA Financials'!M11)</f>
        <v>622500</v>
      </c>
      <c r="K113" s="133">
        <f>IF('NTT DATA Financials'!N11="","N/A — source data unavailable",'NTT DATA Financials'!N11)</f>
        <v>803700</v>
      </c>
      <c r="M113" s="102" t="s">
        <v>815</v>
      </c>
      <c r="N113" s="102" t="s">
        <v>69</v>
      </c>
      <c r="O113" s="102" t="s">
        <v>951</v>
      </c>
    </row>
    <row r="114" spans="3:15" ht="60" customHeight="1">
      <c r="C114" s="111" t="s">
        <v>952</v>
      </c>
      <c r="D114" s="133">
        <f>IF('NTT DATA Financials'!G10="","N/A — source data unavailable",'NTT DATA Financials'!G10)</f>
        <v>147716</v>
      </c>
      <c r="E114" s="133">
        <f>IF('NTT DATA Financials'!H10="","N/A — source data unavailable",'NTT DATA Financials'!H10)</f>
        <v>130937</v>
      </c>
      <c r="F114" s="133">
        <f>IF('NTT DATA Financials'!I10="","N/A — source data unavailable",'NTT DATA Financials'!I10)</f>
        <v>139173</v>
      </c>
      <c r="G114" s="133">
        <f>IF('NTT DATA Financials'!J10="","N/A — source data unavailable",'NTT DATA Financials'!J10)</f>
        <v>212590</v>
      </c>
      <c r="H114" s="135">
        <f>IF('NTT DATA Financials'!K10="","N/A — source data unavailable",'NTT DATA Financials'!K10)</f>
        <v>259110</v>
      </c>
      <c r="I114" s="133">
        <f>IF('NTT DATA Financials'!L10="","N/A — source data unavailable",'NTT DATA Financials'!L10)</f>
        <v>309551</v>
      </c>
      <c r="J114" s="133">
        <f>IF('NTT DATA Financials'!M10="","N/A — source data unavailable",'NTT DATA Financials'!M10)</f>
        <v>323862</v>
      </c>
      <c r="K114" s="133">
        <f>IF('NTT DATA Financials'!N10="","N/A — source data unavailable",'NTT DATA Financials'!N10)</f>
        <v>488200</v>
      </c>
      <c r="M114" s="48" t="s">
        <v>754</v>
      </c>
      <c r="N114" s="48" t="s">
        <v>756</v>
      </c>
      <c r="O114" s="48" t="s">
        <v>953</v>
      </c>
    </row>
    <row r="115" spans="3:15" ht="60" customHeight="1">
      <c r="C115" s="111" t="s">
        <v>954</v>
      </c>
      <c r="D115" s="133">
        <f>IF('NTT DATA Financials'!G14="","N/A — source data unavailable",'NTT DATA Financials'!G14)</f>
        <v>97704</v>
      </c>
      <c r="E115" s="133">
        <f>IF('NTT DATA Financials'!H14="","N/A — source data unavailable",'NTT DATA Financials'!H14)</f>
        <v>79772</v>
      </c>
      <c r="F115" s="133">
        <f>IF('NTT DATA Financials'!I14="","N/A — source data unavailable",'NTT DATA Financials'!I14)</f>
        <v>81701</v>
      </c>
      <c r="G115" s="133">
        <f>IF('NTT DATA Financials'!J14="","N/A — source data unavailable",'NTT DATA Financials'!J14)</f>
        <v>150102</v>
      </c>
      <c r="H115" s="135">
        <f>IF('NTT DATA Financials'!K14="","N/A — source data unavailable",'NTT DATA Financials'!K14)</f>
        <v>166871</v>
      </c>
      <c r="I115" s="133">
        <f>IF('NTT DATA Financials'!L14="","N/A — source data unavailable",'NTT DATA Financials'!L14)</f>
        <v>145541</v>
      </c>
      <c r="J115" s="133">
        <f>IF('NTT DATA Financials'!M14="","N/A — source data unavailable",'NTT DATA Financials'!M14)</f>
        <v>139260</v>
      </c>
      <c r="K115" s="133">
        <f>IF('NTT DATA Financials'!N14="","N/A — source data unavailable",'NTT DATA Financials'!N14)</f>
        <v>265100</v>
      </c>
      <c r="M115" s="48" t="s">
        <v>955</v>
      </c>
      <c r="N115" s="48" t="s">
        <v>72</v>
      </c>
      <c r="O115" s="48" t="s">
        <v>956</v>
      </c>
    </row>
    <row r="116" spans="3:15" ht="60" customHeight="1">
      <c r="M116" s="48" t="s">
        <v>923</v>
      </c>
      <c r="N116" s="48" t="s">
        <v>859</v>
      </c>
      <c r="O116" s="48" t="s">
        <v>957</v>
      </c>
    </row>
    <row r="117" spans="3:15" ht="22" customHeight="1">
      <c r="C117" s="96" t="s">
        <v>958</v>
      </c>
      <c r="D117" s="97"/>
      <c r="E117" s="97"/>
      <c r="F117" s="97"/>
      <c r="G117" s="97"/>
      <c r="H117" s="97"/>
      <c r="I117" s="97"/>
      <c r="J117" s="97"/>
      <c r="K117" s="98"/>
    </row>
    <row r="118" spans="3:15" ht="54" customHeight="1">
      <c r="C118" s="93" t="s">
        <v>944</v>
      </c>
      <c r="D118" s="136">
        <f t="shared" ref="D118:J118" si="13">IF(AND(ISNUMBER(D112),ISNUMBER(D113),D113&lt;&gt;0),D112/D113,"N/A — insufficient comparable data")</f>
        <v>0.78469520103761348</v>
      </c>
      <c r="E118" s="136">
        <f t="shared" si="13"/>
        <v>0.94690564761582685</v>
      </c>
      <c r="F118" s="136">
        <f t="shared" si="13"/>
        <v>1.1005307524196066</v>
      </c>
      <c r="G118" s="136">
        <f t="shared" si="13"/>
        <v>0.78602177766523174</v>
      </c>
      <c r="H118" s="137">
        <f t="shared" si="13"/>
        <v>0.72708419742845287</v>
      </c>
      <c r="I118" s="136">
        <f t="shared" si="13"/>
        <v>0.8434037876225905</v>
      </c>
      <c r="J118" s="136">
        <f t="shared" si="13"/>
        <v>0.63798875502008034</v>
      </c>
      <c r="K118" s="136" t="str">
        <f>IF(AND(ISNUMBER(K112),ISNUMBER(K113),K113&lt;&gt;0),K112/K113,"N/A — operating cash flow unavailable")</f>
        <v>N/A — operating cash flow unavailable</v>
      </c>
    </row>
    <row r="119" spans="3:15" ht="54" customHeight="1">
      <c r="C119" s="93" t="s">
        <v>946</v>
      </c>
      <c r="D119" s="136">
        <f t="shared" ref="D119:J119" si="14">IF(AND(ISNUMBER(D112),ISNUMBER(D114),D114&lt;&gt;0),D112/D114,"N/A — insufficient comparable data")</f>
        <v>1.638278859432966</v>
      </c>
      <c r="E119" s="136">
        <f t="shared" si="14"/>
        <v>2.1384329868562744</v>
      </c>
      <c r="F119" s="136">
        <f t="shared" si="14"/>
        <v>2.5328188657282662</v>
      </c>
      <c r="G119" s="136">
        <f t="shared" si="14"/>
        <v>1.4600874923561786</v>
      </c>
      <c r="H119" s="137">
        <f t="shared" si="14"/>
        <v>1.3530932808459728</v>
      </c>
      <c r="I119" s="136">
        <f t="shared" si="14"/>
        <v>1.6113306046499607</v>
      </c>
      <c r="J119" s="136">
        <f t="shared" si="14"/>
        <v>1.2262877398398082</v>
      </c>
      <c r="K119" s="136" t="str">
        <f>IF(AND(ISNUMBER(K112),ISNUMBER(K114),K114&lt;&gt;0),K112/K114,"N/A — operating cash flow unavailable")</f>
        <v>N/A — operating cash flow unavailable</v>
      </c>
    </row>
    <row r="120" spans="3:15" ht="54" customHeight="1">
      <c r="C120" s="93" t="s">
        <v>949</v>
      </c>
      <c r="D120" s="136">
        <f t="shared" ref="D120:J120" si="15">IF(AND(ISNUMBER(D112),ISNUMBER(D115),D115&lt;&gt;0),D112/D115,"N/A — insufficient comparable data")</f>
        <v>2.4768689101776795</v>
      </c>
      <c r="E120" s="136">
        <f t="shared" si="15"/>
        <v>3.5100035100035099</v>
      </c>
      <c r="F120" s="136">
        <f t="shared" si="15"/>
        <v>4.3145126742634732</v>
      </c>
      <c r="G120" s="136">
        <f t="shared" si="15"/>
        <v>2.0679271428761776</v>
      </c>
      <c r="H120" s="137">
        <f t="shared" si="15"/>
        <v>2.1010241443989668</v>
      </c>
      <c r="I120" s="136">
        <f t="shared" si="15"/>
        <v>3.4271373702255721</v>
      </c>
      <c r="J120" s="136">
        <f t="shared" si="15"/>
        <v>2.8518454689070802</v>
      </c>
      <c r="K120" s="136" t="str">
        <f>IF(AND(ISNUMBER(K112),ISNUMBER(K115),K115&lt;&gt;0),K112/K115,"N/A — operating cash flow unavailable")</f>
        <v>N/A — operating cash flow unavailable</v>
      </c>
    </row>
    <row r="121" spans="3:15">
      <c r="C121" s="92" t="s">
        <v>876</v>
      </c>
      <c r="D121" s="92"/>
      <c r="E121" s="92"/>
      <c r="F121" s="92"/>
    </row>
  </sheetData>
  <conditionalFormatting sqref="D10:K16">
    <cfRule type="containsText" dxfId="8" priority="1" operator="containsText" text="N/A"/>
  </conditionalFormatting>
  <conditionalFormatting sqref="D23:K27">
    <cfRule type="containsText" dxfId="7" priority="2" operator="containsText" text="N/A"/>
  </conditionalFormatting>
  <conditionalFormatting sqref="D30:K32">
    <cfRule type="containsText" dxfId="6" priority="3" operator="containsText" text="N/A"/>
  </conditionalFormatting>
  <conditionalFormatting sqref="D33:K34">
    <cfRule type="containsText" dxfId="5" priority="6" operator="containsText" text="N/A"/>
  </conditionalFormatting>
  <conditionalFormatting sqref="D93:K94">
    <cfRule type="containsText" dxfId="4" priority="8" operator="containsText" text="N/A"/>
  </conditionalFormatting>
  <conditionalFormatting sqref="D100:K107">
    <cfRule type="containsText" dxfId="3" priority="10" operator="containsText" text="N/A"/>
  </conditionalFormatting>
  <conditionalFormatting sqref="D112:K115">
    <cfRule type="containsText" dxfId="2" priority="11" operator="containsText" text="N/A"/>
  </conditionalFormatting>
  <conditionalFormatting sqref="D118:K120">
    <cfRule type="containsText" dxfId="1" priority="12" operator="containsText" text="N/A"/>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72C4"/>
  </sheetPr>
  <dimension ref="A1:X110"/>
  <sheetViews>
    <sheetView showGridLines="0" tabSelected="1" topLeftCell="B1" zoomScale="59" workbookViewId="0">
      <pane ySplit="5" topLeftCell="A47" activePane="bottomLeft" state="frozen"/>
      <selection pane="bottomLeft" sqref="A1:I1"/>
    </sheetView>
  </sheetViews>
  <sheetFormatPr defaultRowHeight="14"/>
  <cols>
    <col min="1" max="1" width="38" customWidth="1"/>
    <col min="2" max="9" width="14" customWidth="1"/>
    <col min="10" max="10" width="18" customWidth="1"/>
    <col min="11" max="17" width="14" customWidth="1"/>
    <col min="18" max="18" width="3" customWidth="1"/>
    <col min="19" max="24" width="19" customWidth="1"/>
  </cols>
  <sheetData>
    <row r="1" spans="1:24" ht="30" customHeight="1">
      <c r="A1" s="146" t="s">
        <v>959</v>
      </c>
      <c r="B1" s="146"/>
      <c r="C1" s="146"/>
      <c r="D1" s="146"/>
      <c r="E1" s="146"/>
      <c r="F1" s="146"/>
      <c r="G1" s="146"/>
      <c r="H1" s="146"/>
      <c r="I1" s="146"/>
      <c r="J1" s="62"/>
      <c r="K1" s="62"/>
      <c r="L1" s="62"/>
      <c r="M1" s="62"/>
      <c r="N1" s="62"/>
      <c r="O1" s="62"/>
      <c r="P1" s="62"/>
      <c r="Q1" s="62"/>
      <c r="R1" s="62"/>
      <c r="S1" s="62"/>
      <c r="T1" s="62"/>
      <c r="U1" s="62"/>
      <c r="V1" s="62"/>
      <c r="W1" s="62"/>
      <c r="X1" s="62"/>
    </row>
    <row r="2" spans="1:24" ht="22" customHeight="1">
      <c r="A2" s="147" t="s">
        <v>960</v>
      </c>
      <c r="B2" s="147"/>
      <c r="C2" s="147"/>
      <c r="D2" s="147"/>
      <c r="E2" s="147"/>
      <c r="F2" s="147"/>
      <c r="G2" s="147"/>
      <c r="H2" s="147"/>
      <c r="I2" s="147"/>
      <c r="J2" s="62"/>
      <c r="K2" s="62"/>
      <c r="L2" s="62"/>
      <c r="M2" s="62"/>
      <c r="N2" s="62"/>
      <c r="O2" s="62"/>
      <c r="P2" s="62"/>
      <c r="Q2" s="62"/>
      <c r="R2" s="62"/>
      <c r="S2" s="96" t="s">
        <v>961</v>
      </c>
      <c r="T2" s="97"/>
      <c r="U2" s="97"/>
      <c r="V2" s="98"/>
      <c r="W2" s="62"/>
      <c r="X2" s="62"/>
    </row>
    <row r="3" spans="1:24">
      <c r="A3" s="62"/>
      <c r="B3" s="62"/>
      <c r="C3" s="62"/>
      <c r="D3" s="62"/>
      <c r="E3" s="62"/>
      <c r="F3" s="62"/>
      <c r="G3" s="62"/>
      <c r="H3" s="62"/>
      <c r="I3" s="62"/>
      <c r="J3" s="62"/>
      <c r="K3" s="62"/>
      <c r="L3" s="62"/>
      <c r="M3" s="62"/>
      <c r="N3" s="62"/>
      <c r="O3" s="62"/>
      <c r="P3" s="62"/>
      <c r="Q3" s="62"/>
      <c r="R3" s="62"/>
      <c r="S3" s="99" t="s">
        <v>782</v>
      </c>
      <c r="T3" s="100" t="s">
        <v>944</v>
      </c>
      <c r="U3" s="100" t="s">
        <v>946</v>
      </c>
      <c r="V3" s="101" t="s">
        <v>949</v>
      </c>
      <c r="W3" s="62"/>
      <c r="X3" s="62"/>
    </row>
    <row r="4" spans="1:24" ht="22" customHeight="1">
      <c r="A4" s="96" t="s">
        <v>962</v>
      </c>
      <c r="B4" s="97"/>
      <c r="C4" s="97"/>
      <c r="D4" s="97"/>
      <c r="E4" s="97"/>
      <c r="F4" s="97"/>
      <c r="G4" s="97"/>
      <c r="H4" s="97"/>
      <c r="I4" s="98"/>
      <c r="J4" s="96" t="s">
        <v>963</v>
      </c>
      <c r="K4" s="97"/>
      <c r="L4" s="97"/>
      <c r="M4" s="97"/>
      <c r="N4" s="97"/>
      <c r="O4" s="97"/>
      <c r="P4" s="97"/>
      <c r="Q4" s="98"/>
      <c r="R4" s="62"/>
      <c r="S4" s="65" t="str">
        <f>Model!D6</f>
        <v>FY2018</v>
      </c>
      <c r="T4" s="126">
        <f>Model!D118</f>
        <v>0.78469520103761348</v>
      </c>
      <c r="U4" s="126">
        <f>Model!D119</f>
        <v>1.638278859432966</v>
      </c>
      <c r="V4" s="126">
        <f>Model!D120</f>
        <v>2.4768689101776795</v>
      </c>
      <c r="W4" s="62"/>
      <c r="X4" s="62"/>
    </row>
    <row r="5" spans="1:24">
      <c r="A5" s="99" t="str">
        <f>"Metric"</f>
        <v>Metric</v>
      </c>
      <c r="B5" s="100" t="str">
        <f>Model!D6</f>
        <v>FY2018</v>
      </c>
      <c r="C5" s="100" t="str">
        <f>Model!E6</f>
        <v>FY2019</v>
      </c>
      <c r="D5" s="100" t="str">
        <f>Model!F6</f>
        <v>FY2020</v>
      </c>
      <c r="E5" s="100" t="str">
        <f>Model!G6</f>
        <v>FY2021</v>
      </c>
      <c r="F5" s="100" t="str">
        <f>Model!H6</f>
        <v>FY2022</v>
      </c>
      <c r="G5" s="100" t="str">
        <f>Model!I6</f>
        <v>FY2023</v>
      </c>
      <c r="H5" s="100" t="str">
        <f>Model!J6</f>
        <v>FY2024</v>
      </c>
      <c r="I5" s="101" t="str">
        <f>Model!K6</f>
        <v>FY2025</v>
      </c>
      <c r="J5" s="99" t="s">
        <v>964</v>
      </c>
      <c r="K5" s="148" t="s">
        <v>965</v>
      </c>
      <c r="L5" s="148"/>
      <c r="M5" s="148"/>
      <c r="N5" s="148"/>
      <c r="O5" s="148"/>
      <c r="P5" s="148"/>
      <c r="Q5" s="149"/>
      <c r="R5" s="62"/>
      <c r="S5" s="63" t="str">
        <f>Model!E6</f>
        <v>FY2019</v>
      </c>
      <c r="T5" s="128">
        <f>Model!E118</f>
        <v>0.94690564761582685</v>
      </c>
      <c r="U5" s="128">
        <f>Model!E119</f>
        <v>2.1384329868562744</v>
      </c>
      <c r="V5" s="128">
        <f>Model!E120</f>
        <v>3.5100035100035099</v>
      </c>
      <c r="W5" s="62"/>
      <c r="X5" s="62"/>
    </row>
    <row r="6" spans="1:24" ht="52" customHeight="1">
      <c r="A6" s="103" t="s">
        <v>869</v>
      </c>
      <c r="B6" s="104" t="str">
        <f>Model!D30</f>
        <v>N/A — insufficient comparable opening balance</v>
      </c>
      <c r="C6" s="104">
        <f>Model!E30</f>
        <v>79.897168176572521</v>
      </c>
      <c r="D6" s="104">
        <f>Model!F30</f>
        <v>80.313969330535159</v>
      </c>
      <c r="E6" s="104">
        <f>Model!G30</f>
        <v>78.573363399749056</v>
      </c>
      <c r="F6" s="105">
        <f>Model!H30</f>
        <v>87.338167465192356</v>
      </c>
      <c r="G6" s="104">
        <f>Model!I30</f>
        <v>98.239314491708669</v>
      </c>
      <c r="H6" s="104" t="str">
        <f>Model!J30</f>
        <v>N/A — insufficient comparable disclosure</v>
      </c>
      <c r="I6" s="104" t="str">
        <f>Model!K30</f>
        <v>N/A — insufficient comparable disclosure</v>
      </c>
      <c r="J6" s="138" t="s">
        <v>966</v>
      </c>
      <c r="K6" s="150" t="s">
        <v>967</v>
      </c>
      <c r="L6" s="150"/>
      <c r="M6" s="150"/>
      <c r="N6" s="150"/>
      <c r="O6" s="150"/>
      <c r="P6" s="150"/>
      <c r="Q6" s="150"/>
      <c r="R6" s="62"/>
      <c r="S6" s="63" t="str">
        <f>Model!F6</f>
        <v>FY2020</v>
      </c>
      <c r="T6" s="128">
        <f>Model!F118</f>
        <v>1.1005307524196066</v>
      </c>
      <c r="U6" s="128">
        <f>Model!F119</f>
        <v>2.5328188657282662</v>
      </c>
      <c r="V6" s="128">
        <f>Model!F120</f>
        <v>4.3145126742634732</v>
      </c>
      <c r="W6" s="62"/>
      <c r="X6" s="62"/>
    </row>
    <row r="7" spans="1:24" ht="52" customHeight="1">
      <c r="A7" s="103" t="s">
        <v>870</v>
      </c>
      <c r="B7" s="104">
        <f>Model!D31</f>
        <v>13.822890981570282</v>
      </c>
      <c r="C7" s="104">
        <f>Model!E31</f>
        <v>12.62045682739782</v>
      </c>
      <c r="D7" s="104">
        <f>Model!F31</f>
        <v>13.8783425584972</v>
      </c>
      <c r="E7" s="104">
        <f>Model!G31</f>
        <v>14.801709976778142</v>
      </c>
      <c r="F7" s="105">
        <f>Model!H31</f>
        <v>11.947374807388268</v>
      </c>
      <c r="G7" s="104">
        <f>Model!I31</f>
        <v>11.439024066335318</v>
      </c>
      <c r="H7" s="104">
        <f>Model!J31</f>
        <v>13.683680803393868</v>
      </c>
      <c r="I7" s="104" t="str">
        <f>Model!K31</f>
        <v>N/A — insufficient comparable disclosure</v>
      </c>
      <c r="J7" s="138" t="s">
        <v>968</v>
      </c>
      <c r="K7" s="150" t="s">
        <v>969</v>
      </c>
      <c r="L7" s="150"/>
      <c r="M7" s="150"/>
      <c r="N7" s="150"/>
      <c r="O7" s="150"/>
      <c r="P7" s="150"/>
      <c r="Q7" s="150"/>
      <c r="R7" s="62"/>
      <c r="S7" s="63" t="str">
        <f>Model!G6</f>
        <v>FY2021</v>
      </c>
      <c r="T7" s="128">
        <f>Model!G118</f>
        <v>0.78602177766523174</v>
      </c>
      <c r="U7" s="128">
        <f>Model!G119</f>
        <v>1.4600874923561786</v>
      </c>
      <c r="V7" s="128">
        <f>Model!G120</f>
        <v>2.0679271428761776</v>
      </c>
      <c r="W7" s="62"/>
      <c r="X7" s="62"/>
    </row>
    <row r="8" spans="1:24" ht="52" customHeight="1">
      <c r="A8" s="103" t="s">
        <v>872</v>
      </c>
      <c r="B8" s="104" t="str">
        <f>Model!D32</f>
        <v>N/A — opening balance not sufficiently comparable</v>
      </c>
      <c r="C8" s="104">
        <f>Model!E32</f>
        <v>3.1254599230368401</v>
      </c>
      <c r="D8" s="104">
        <f>Model!F32</f>
        <v>2.9681667486504395</v>
      </c>
      <c r="E8" s="104">
        <f>Model!G32</f>
        <v>3.8822149214458737</v>
      </c>
      <c r="F8" s="105">
        <f>Model!H32</f>
        <v>7.2241046158255537</v>
      </c>
      <c r="G8" s="104">
        <f>Model!I32</f>
        <v>7.3326270378364029</v>
      </c>
      <c r="H8" s="104">
        <f>Model!J32</f>
        <v>5.8345731385093629</v>
      </c>
      <c r="I8" s="104">
        <f>Model!K32</f>
        <v>6.4767758787121688</v>
      </c>
      <c r="J8" s="138" t="s">
        <v>970</v>
      </c>
      <c r="K8" s="150" t="s">
        <v>971</v>
      </c>
      <c r="L8" s="150"/>
      <c r="M8" s="150"/>
      <c r="N8" s="150"/>
      <c r="O8" s="150"/>
      <c r="P8" s="150"/>
      <c r="Q8" s="150"/>
      <c r="R8" s="62"/>
      <c r="S8" s="129" t="str">
        <f>Model!H6</f>
        <v>FY2022</v>
      </c>
      <c r="T8" s="131">
        <f>Model!H118</f>
        <v>0.72708419742845287</v>
      </c>
      <c r="U8" s="131">
        <f>Model!H119</f>
        <v>1.3530932808459728</v>
      </c>
      <c r="V8" s="131">
        <f>Model!H120</f>
        <v>2.1010241443989668</v>
      </c>
      <c r="W8" s="62"/>
      <c r="X8" s="62"/>
    </row>
    <row r="9" spans="1:24" ht="52" customHeight="1">
      <c r="A9" s="103" t="s">
        <v>874</v>
      </c>
      <c r="B9" s="104" t="str">
        <f>Model!D33</f>
        <v>N/A — opening balance not sufficiently comparable</v>
      </c>
      <c r="C9" s="104">
        <f>Model!E33</f>
        <v>30.487369414314013</v>
      </c>
      <c r="D9" s="104">
        <f>Model!F33</f>
        <v>30.756618916164914</v>
      </c>
      <c r="E9" s="104">
        <f>Model!G33</f>
        <v>30.999055655300058</v>
      </c>
      <c r="F9" s="105">
        <f>Model!H33</f>
        <v>40.086851447147687</v>
      </c>
      <c r="G9" s="104">
        <f>Model!I33</f>
        <v>49.431147379241274</v>
      </c>
      <c r="H9" s="104" t="str">
        <f>Model!J33</f>
        <v>N/A — insufficient comparable disclosure</v>
      </c>
      <c r="I9" s="104" t="str">
        <f>Model!K33</f>
        <v>N/A — insufficient comparable disclosure</v>
      </c>
      <c r="J9" s="138" t="s">
        <v>972</v>
      </c>
      <c r="K9" s="150" t="s">
        <v>973</v>
      </c>
      <c r="L9" s="150"/>
      <c r="M9" s="150"/>
      <c r="N9" s="150"/>
      <c r="O9" s="150"/>
      <c r="P9" s="150"/>
      <c r="Q9" s="150"/>
      <c r="R9" s="62"/>
      <c r="S9" s="63" t="str">
        <f>Model!I6</f>
        <v>FY2023</v>
      </c>
      <c r="T9" s="128">
        <f>Model!I118</f>
        <v>0.8434037876225905</v>
      </c>
      <c r="U9" s="128">
        <f>Model!I119</f>
        <v>1.6113306046499607</v>
      </c>
      <c r="V9" s="128">
        <f>Model!I120</f>
        <v>3.4271373702255721</v>
      </c>
      <c r="W9" s="62"/>
      <c r="X9" s="62"/>
    </row>
    <row r="10" spans="1:24" ht="52" customHeight="1">
      <c r="A10" s="103" t="s">
        <v>875</v>
      </c>
      <c r="B10" s="104">
        <f>Model!D34</f>
        <v>36.486504130799005</v>
      </c>
      <c r="C10" s="104">
        <f>Model!E34</f>
        <v>38.283482765192289</v>
      </c>
      <c r="D10" s="104">
        <f>Model!F34</f>
        <v>41.476979356162055</v>
      </c>
      <c r="E10" s="104">
        <f>Model!G34</f>
        <v>39.624984227475458</v>
      </c>
      <c r="F10" s="105">
        <f>Model!H34</f>
        <v>37.944948143105428</v>
      </c>
      <c r="G10" s="104">
        <f>Model!I34</f>
        <v>39.643284989399838</v>
      </c>
      <c r="H10" s="104">
        <f>Model!J34</f>
        <v>39.439248986951362</v>
      </c>
      <c r="I10" s="104" t="str">
        <f>Model!K34</f>
        <v>N/A — insufficient comparable disclosure</v>
      </c>
      <c r="J10" s="138" t="s">
        <v>974</v>
      </c>
      <c r="K10" s="150" t="s">
        <v>975</v>
      </c>
      <c r="L10" s="150"/>
      <c r="M10" s="150"/>
      <c r="N10" s="150"/>
      <c r="O10" s="150"/>
      <c r="P10" s="150"/>
      <c r="Q10" s="150"/>
      <c r="R10" s="62"/>
      <c r="S10" s="63" t="str">
        <f>Model!J6</f>
        <v>FY2024</v>
      </c>
      <c r="T10" s="128">
        <f>Model!J118</f>
        <v>0.63798875502008034</v>
      </c>
      <c r="U10" s="128">
        <f>Model!J119</f>
        <v>1.2262877398398082</v>
      </c>
      <c r="V10" s="128">
        <f>Model!J120</f>
        <v>2.8518454689070802</v>
      </c>
      <c r="W10" s="62"/>
      <c r="X10" s="62"/>
    </row>
    <row r="11" spans="1:24" ht="52" customHeight="1">
      <c r="A11" s="103" t="s">
        <v>976</v>
      </c>
      <c r="B11" s="104" t="str">
        <f>Model!D93</f>
        <v>N/A — incomplete comparable components</v>
      </c>
      <c r="C11" s="104">
        <f>Model!E93</f>
        <v>52.535258685295346</v>
      </c>
      <c r="D11" s="104">
        <f>Model!F93</f>
        <v>52.52551716302068</v>
      </c>
      <c r="E11" s="104">
        <f>Model!G93</f>
        <v>51.45652266589488</v>
      </c>
      <c r="F11" s="105">
        <f>Model!H93</f>
        <v>54.475420633870222</v>
      </c>
      <c r="G11" s="104">
        <f>Model!I93</f>
        <v>56.140794150303797</v>
      </c>
      <c r="H11" s="104" t="str">
        <f>Model!J93</f>
        <v>N/A — incomplete comparable components</v>
      </c>
      <c r="I11" s="104" t="str">
        <f>Model!K93</f>
        <v>N/A — incomplete comparable components</v>
      </c>
      <c r="J11" s="138" t="s">
        <v>977</v>
      </c>
      <c r="K11" s="150" t="s">
        <v>978</v>
      </c>
      <c r="L11" s="150"/>
      <c r="M11" s="150"/>
      <c r="N11" s="150"/>
      <c r="O11" s="150"/>
      <c r="P11" s="150"/>
      <c r="Q11" s="150"/>
      <c r="R11" s="62"/>
      <c r="S11" s="62"/>
      <c r="T11" s="62"/>
      <c r="U11" s="62"/>
      <c r="V11" s="62"/>
      <c r="W11" s="62"/>
      <c r="X11" s="62"/>
    </row>
    <row r="12" spans="1:24" ht="52" customHeight="1">
      <c r="A12" s="103" t="s">
        <v>979</v>
      </c>
      <c r="B12" s="104" t="str">
        <f>Model!D94</f>
        <v>N/A — incomplete comparable components</v>
      </c>
      <c r="C12" s="104">
        <f>Model!E94</f>
        <v>26.872232747500874</v>
      </c>
      <c r="D12" s="104">
        <f>Model!F94</f>
        <v>24.926880365355821</v>
      </c>
      <c r="E12" s="104">
        <f>Model!G94</f>
        <v>26.633248415197563</v>
      </c>
      <c r="F12" s="105">
        <f>Model!H94</f>
        <v>28.477847298153073</v>
      </c>
      <c r="G12" s="104">
        <f>Model!I94</f>
        <v>27.936533227239288</v>
      </c>
      <c r="H12" s="104" t="str">
        <f>Model!J94</f>
        <v>N/A — incomplete comparable components</v>
      </c>
      <c r="I12" s="104" t="str">
        <f>Model!K94</f>
        <v>N/A — incomplete comparable components</v>
      </c>
      <c r="J12" s="138" t="s">
        <v>980</v>
      </c>
      <c r="K12" s="150" t="s">
        <v>981</v>
      </c>
      <c r="L12" s="150"/>
      <c r="M12" s="150"/>
      <c r="N12" s="150"/>
      <c r="O12" s="150"/>
      <c r="P12" s="150"/>
      <c r="Q12" s="150"/>
      <c r="R12" s="62"/>
      <c r="S12" s="96" t="s">
        <v>982</v>
      </c>
      <c r="T12" s="97"/>
      <c r="U12" s="98"/>
      <c r="V12" s="62"/>
      <c r="W12" s="62"/>
      <c r="X12" s="62"/>
    </row>
    <row r="13" spans="1:24" ht="62.5">
      <c r="A13" s="103" t="s">
        <v>983</v>
      </c>
      <c r="B13" s="112">
        <f>Model!D105</f>
        <v>222985</v>
      </c>
      <c r="C13" s="112">
        <f>Model!E105</f>
        <v>196585</v>
      </c>
      <c r="D13" s="112">
        <f>Model!F105</f>
        <v>209121</v>
      </c>
      <c r="E13" s="112">
        <f>Model!G105</f>
        <v>263737</v>
      </c>
      <c r="F13" s="122">
        <f>Model!H105</f>
        <v>446948</v>
      </c>
      <c r="G13" s="112">
        <f>Model!I105</f>
        <v>497249</v>
      </c>
      <c r="H13" s="112" t="str">
        <f>Model!J105</f>
        <v>N/A — incomplete comparable operating working-capital components</v>
      </c>
      <c r="I13" s="112" t="str">
        <f>Model!K105</f>
        <v>N/A — incomplete comparable operating working-capital components</v>
      </c>
      <c r="J13" s="62"/>
      <c r="K13" s="62"/>
      <c r="L13" s="62"/>
      <c r="M13" s="62"/>
      <c r="N13" s="62"/>
      <c r="O13" s="62"/>
      <c r="P13" s="62"/>
      <c r="Q13" s="62"/>
      <c r="R13" s="62"/>
      <c r="S13" s="99" t="s">
        <v>782</v>
      </c>
      <c r="T13" s="100" t="s">
        <v>938</v>
      </c>
      <c r="U13" s="101" t="s">
        <v>939</v>
      </c>
      <c r="V13" s="62"/>
      <c r="W13" s="62"/>
      <c r="X13" s="62"/>
    </row>
    <row r="14" spans="1:24" ht="62.5">
      <c r="A14" s="103" t="s">
        <v>939</v>
      </c>
      <c r="B14" s="123">
        <f>Model!D107</f>
        <v>0.10306083540354728</v>
      </c>
      <c r="C14" s="123">
        <f>Model!E107</f>
        <v>8.6723269019696417E-2</v>
      </c>
      <c r="D14" s="123">
        <f>Model!F107</f>
        <v>9.0190532627062725E-2</v>
      </c>
      <c r="E14" s="123">
        <f>Model!G107</f>
        <v>0.10334902617886396</v>
      </c>
      <c r="F14" s="124">
        <f>Model!H107</f>
        <v>0.12805865138264996</v>
      </c>
      <c r="G14" s="123">
        <f>Model!I107</f>
        <v>0.11385503505872047</v>
      </c>
      <c r="H14" s="123" t="str">
        <f>Model!J107</f>
        <v>N/A — incomplete comparable operating working-capital components</v>
      </c>
      <c r="I14" s="123" t="str">
        <f>Model!K107</f>
        <v>N/A — incomplete comparable operating working-capital components</v>
      </c>
      <c r="J14" s="62"/>
      <c r="K14" s="62"/>
      <c r="L14" s="62"/>
      <c r="M14" s="62"/>
      <c r="N14" s="62"/>
      <c r="O14" s="62"/>
      <c r="P14" s="62"/>
      <c r="Q14" s="62"/>
      <c r="R14" s="62"/>
      <c r="S14" s="65" t="str">
        <f>Model!D6</f>
        <v>FY2018</v>
      </c>
      <c r="T14" s="125">
        <f>Model!D105</f>
        <v>222985</v>
      </c>
      <c r="U14" s="126">
        <f>Model!D107</f>
        <v>0.10306083540354728</v>
      </c>
      <c r="V14" s="62"/>
      <c r="W14" s="62"/>
      <c r="X14" s="62"/>
    </row>
    <row r="15" spans="1:24" ht="37.5">
      <c r="A15" s="103" t="s">
        <v>944</v>
      </c>
      <c r="B15" s="123">
        <f>Model!D118</f>
        <v>0.78469520103761348</v>
      </c>
      <c r="C15" s="123">
        <f>Model!E118</f>
        <v>0.94690564761582685</v>
      </c>
      <c r="D15" s="123">
        <f>Model!F118</f>
        <v>1.1005307524196066</v>
      </c>
      <c r="E15" s="123">
        <f>Model!G118</f>
        <v>0.78602177766523174</v>
      </c>
      <c r="F15" s="124">
        <f>Model!H118</f>
        <v>0.72708419742845287</v>
      </c>
      <c r="G15" s="123">
        <f>Model!I118</f>
        <v>0.8434037876225905</v>
      </c>
      <c r="H15" s="123">
        <f>Model!J118</f>
        <v>0.63798875502008034</v>
      </c>
      <c r="I15" s="123" t="str">
        <f>Model!K118</f>
        <v>N/A — operating cash flow unavailable</v>
      </c>
      <c r="J15" s="62"/>
      <c r="K15" s="62"/>
      <c r="L15" s="62"/>
      <c r="M15" s="62"/>
      <c r="N15" s="62"/>
      <c r="O15" s="62"/>
      <c r="P15" s="62"/>
      <c r="Q15" s="62"/>
      <c r="R15" s="62"/>
      <c r="S15" s="63" t="str">
        <f>Model!E6</f>
        <v>FY2019</v>
      </c>
      <c r="T15" s="127">
        <f>Model!E105</f>
        <v>196585</v>
      </c>
      <c r="U15" s="128">
        <f>Model!E107</f>
        <v>8.6723269019696417E-2</v>
      </c>
      <c r="V15" s="62"/>
      <c r="W15" s="62"/>
      <c r="X15" s="62"/>
    </row>
    <row r="16" spans="1:24" ht="37.5">
      <c r="A16" s="103" t="s">
        <v>946</v>
      </c>
      <c r="B16" s="123">
        <f>Model!D119</f>
        <v>1.638278859432966</v>
      </c>
      <c r="C16" s="123">
        <f>Model!E119</f>
        <v>2.1384329868562744</v>
      </c>
      <c r="D16" s="123">
        <f>Model!F119</f>
        <v>2.5328188657282662</v>
      </c>
      <c r="E16" s="123">
        <f>Model!G119</f>
        <v>1.4600874923561786</v>
      </c>
      <c r="F16" s="124">
        <f>Model!H119</f>
        <v>1.3530932808459728</v>
      </c>
      <c r="G16" s="123">
        <f>Model!I119</f>
        <v>1.6113306046499607</v>
      </c>
      <c r="H16" s="123">
        <f>Model!J119</f>
        <v>1.2262877398398082</v>
      </c>
      <c r="I16" s="123" t="str">
        <f>Model!K119</f>
        <v>N/A — operating cash flow unavailable</v>
      </c>
      <c r="J16" s="62"/>
      <c r="K16" s="62"/>
      <c r="L16" s="62"/>
      <c r="M16" s="62"/>
      <c r="N16" s="62"/>
      <c r="O16" s="62"/>
      <c r="P16" s="62"/>
      <c r="Q16" s="62"/>
      <c r="R16" s="62"/>
      <c r="S16" s="63" t="str">
        <f>Model!F6</f>
        <v>FY2020</v>
      </c>
      <c r="T16" s="127">
        <f>Model!F105</f>
        <v>209121</v>
      </c>
      <c r="U16" s="128">
        <f>Model!F107</f>
        <v>9.0190532627062725E-2</v>
      </c>
      <c r="V16" s="62"/>
      <c r="W16" s="62"/>
      <c r="X16" s="62"/>
    </row>
    <row r="17" spans="1:24" ht="37.5">
      <c r="A17" s="103" t="s">
        <v>949</v>
      </c>
      <c r="B17" s="123">
        <f>Model!D120</f>
        <v>2.4768689101776795</v>
      </c>
      <c r="C17" s="123">
        <f>Model!E120</f>
        <v>3.5100035100035099</v>
      </c>
      <c r="D17" s="123">
        <f>Model!F120</f>
        <v>4.3145126742634732</v>
      </c>
      <c r="E17" s="123">
        <f>Model!G120</f>
        <v>2.0679271428761776</v>
      </c>
      <c r="F17" s="124">
        <f>Model!H120</f>
        <v>2.1010241443989668</v>
      </c>
      <c r="G17" s="123">
        <f>Model!I120</f>
        <v>3.4271373702255721</v>
      </c>
      <c r="H17" s="123">
        <f>Model!J120</f>
        <v>2.8518454689070802</v>
      </c>
      <c r="I17" s="123" t="str">
        <f>Model!K120</f>
        <v>N/A — operating cash flow unavailable</v>
      </c>
      <c r="J17" s="62"/>
      <c r="K17" s="62"/>
      <c r="L17" s="62"/>
      <c r="M17" s="62"/>
      <c r="N17" s="62"/>
      <c r="O17" s="62"/>
      <c r="P17" s="62"/>
      <c r="Q17" s="62"/>
      <c r="R17" s="62"/>
      <c r="S17" s="63" t="str">
        <f>Model!G6</f>
        <v>FY2021</v>
      </c>
      <c r="T17" s="127">
        <f>Model!G105</f>
        <v>263737</v>
      </c>
      <c r="U17" s="128">
        <f>Model!G107</f>
        <v>0.10334902617886396</v>
      </c>
      <c r="V17" s="62"/>
      <c r="W17" s="62"/>
      <c r="X17" s="62"/>
    </row>
    <row r="18" spans="1:24">
      <c r="A18" s="62"/>
      <c r="B18" s="62"/>
      <c r="C18" s="62"/>
      <c r="D18" s="62"/>
      <c r="E18" s="62"/>
      <c r="F18" s="62"/>
      <c r="G18" s="62"/>
      <c r="H18" s="62"/>
      <c r="I18" s="62"/>
      <c r="J18" s="62"/>
      <c r="K18" s="62"/>
      <c r="L18" s="62"/>
      <c r="M18" s="62"/>
      <c r="N18" s="62"/>
      <c r="O18" s="62"/>
      <c r="P18" s="62"/>
      <c r="Q18" s="62"/>
      <c r="R18" s="62"/>
      <c r="S18" s="129" t="str">
        <f>Model!H6</f>
        <v>FY2022</v>
      </c>
      <c r="T18" s="130">
        <f>Model!H105</f>
        <v>446948</v>
      </c>
      <c r="U18" s="131">
        <f>Model!H107</f>
        <v>0.12805865138264996</v>
      </c>
      <c r="V18" s="62"/>
      <c r="W18" s="62"/>
      <c r="X18" s="62"/>
    </row>
    <row r="19" spans="1:24">
      <c r="A19" s="62"/>
      <c r="B19" s="62"/>
      <c r="C19" s="62"/>
      <c r="D19" s="62"/>
      <c r="E19" s="62"/>
      <c r="F19" s="62"/>
      <c r="G19" s="62"/>
      <c r="H19" s="62"/>
      <c r="I19" s="62"/>
      <c r="J19" s="62"/>
      <c r="K19" s="62"/>
      <c r="L19" s="62"/>
      <c r="M19" s="62"/>
      <c r="N19" s="62"/>
      <c r="O19" s="62"/>
      <c r="P19" s="62"/>
      <c r="Q19" s="62"/>
      <c r="R19" s="62"/>
      <c r="S19" s="63" t="str">
        <f>Model!I6</f>
        <v>FY2023</v>
      </c>
      <c r="T19" s="127">
        <f>Model!I105</f>
        <v>497249</v>
      </c>
      <c r="U19" s="128">
        <f>Model!I107</f>
        <v>0.11385503505872047</v>
      </c>
      <c r="V19" s="62"/>
      <c r="W19" s="62"/>
      <c r="X19" s="62"/>
    </row>
    <row r="20" spans="1:24" ht="22" customHeight="1">
      <c r="A20" s="96" t="s">
        <v>984</v>
      </c>
      <c r="B20" s="97"/>
      <c r="C20" s="97"/>
      <c r="D20" s="97"/>
      <c r="E20" s="97"/>
      <c r="F20" s="97"/>
      <c r="G20" s="97"/>
      <c r="H20" s="98"/>
      <c r="I20" s="62"/>
      <c r="J20" s="62"/>
      <c r="K20" s="62"/>
      <c r="L20" s="62"/>
      <c r="M20" s="62"/>
      <c r="N20" s="62"/>
      <c r="O20" s="62"/>
      <c r="P20" s="62"/>
      <c r="Q20" s="62"/>
      <c r="R20" s="62"/>
      <c r="S20" s="96" t="s">
        <v>985</v>
      </c>
      <c r="T20" s="97"/>
      <c r="U20" s="97"/>
      <c r="V20" s="97"/>
      <c r="W20" s="97"/>
      <c r="X20" s="98"/>
    </row>
    <row r="21" spans="1:24" ht="26">
      <c r="A21" s="99" t="s">
        <v>782</v>
      </c>
      <c r="B21" s="100" t="s">
        <v>873</v>
      </c>
      <c r="C21" s="100" t="s">
        <v>870</v>
      </c>
      <c r="D21" s="100" t="s">
        <v>899</v>
      </c>
      <c r="E21" s="100" t="s">
        <v>986</v>
      </c>
      <c r="F21" s="100" t="s">
        <v>875</v>
      </c>
      <c r="G21" s="100" t="s">
        <v>976</v>
      </c>
      <c r="H21" s="101" t="s">
        <v>979</v>
      </c>
      <c r="I21" s="62"/>
      <c r="J21" s="62"/>
      <c r="K21" s="62"/>
      <c r="L21" s="62"/>
      <c r="M21" s="62"/>
      <c r="N21" s="62"/>
      <c r="O21" s="62"/>
      <c r="P21" s="62"/>
      <c r="Q21" s="62"/>
      <c r="R21" s="62"/>
      <c r="S21" s="99" t="s">
        <v>782</v>
      </c>
      <c r="T21" s="100" t="s">
        <v>873</v>
      </c>
      <c r="U21" s="100" t="s">
        <v>870</v>
      </c>
      <c r="V21" s="100" t="s">
        <v>899</v>
      </c>
      <c r="W21" s="100" t="s">
        <v>987</v>
      </c>
      <c r="X21" s="101" t="s">
        <v>988</v>
      </c>
    </row>
    <row r="22" spans="1:24">
      <c r="A22" s="45" t="str">
        <f>Model!E6</f>
        <v>FY2019</v>
      </c>
      <c r="B22" s="66">
        <f>Model!E30</f>
        <v>79.897168176572521</v>
      </c>
      <c r="C22" s="66">
        <f>Model!E31</f>
        <v>12.62045682739782</v>
      </c>
      <c r="D22" s="66">
        <f>Model!E32</f>
        <v>3.1254599230368401</v>
      </c>
      <c r="E22" s="66">
        <f>Model!E33</f>
        <v>30.487369414314013</v>
      </c>
      <c r="F22" s="66">
        <f>Model!E34</f>
        <v>38.283482765192289</v>
      </c>
      <c r="G22" s="66">
        <f>Model!E93</f>
        <v>52.535258685295346</v>
      </c>
      <c r="H22" s="66">
        <f>Model!E94</f>
        <v>26.872232747500874</v>
      </c>
      <c r="I22" s="62"/>
      <c r="J22" s="62"/>
      <c r="K22" s="62"/>
      <c r="L22" s="62"/>
      <c r="M22" s="62"/>
      <c r="N22" s="62"/>
      <c r="O22" s="62"/>
      <c r="P22" s="62"/>
      <c r="Q22" s="62"/>
      <c r="R22" s="62"/>
      <c r="S22" s="108" t="str">
        <f>Model!E6</f>
        <v>FY2019</v>
      </c>
      <c r="T22" s="108">
        <f>Model!E30</f>
        <v>79.897168176572521</v>
      </c>
      <c r="U22" s="108">
        <f>Model!E31</f>
        <v>12.62045682739782</v>
      </c>
      <c r="V22" s="108">
        <f>Model!E32</f>
        <v>3.1254599230368401</v>
      </c>
      <c r="W22" s="108">
        <f>-Model!E33</f>
        <v>-30.487369414314013</v>
      </c>
      <c r="X22" s="108">
        <f>-Model!E34</f>
        <v>-38.283482765192289</v>
      </c>
    </row>
    <row r="23" spans="1:24">
      <c r="A23" s="46" t="str">
        <f>Model!F6</f>
        <v>FY2020</v>
      </c>
      <c r="B23" s="67">
        <f>Model!F30</f>
        <v>80.313969330535159</v>
      </c>
      <c r="C23" s="67">
        <f>Model!F31</f>
        <v>13.8783425584972</v>
      </c>
      <c r="D23" s="67">
        <f>Model!F32</f>
        <v>2.9681667486504395</v>
      </c>
      <c r="E23" s="67">
        <f>Model!F33</f>
        <v>30.756618916164914</v>
      </c>
      <c r="F23" s="67">
        <f>Model!F34</f>
        <v>41.476979356162055</v>
      </c>
      <c r="G23" s="67">
        <f>Model!F93</f>
        <v>52.52551716302068</v>
      </c>
      <c r="H23" s="67">
        <f>Model!F94</f>
        <v>24.926880365355821</v>
      </c>
      <c r="I23" s="62"/>
      <c r="J23" s="62"/>
      <c r="K23" s="62"/>
      <c r="L23" s="62"/>
      <c r="M23" s="62"/>
      <c r="N23" s="62"/>
      <c r="O23" s="62"/>
      <c r="P23" s="62"/>
      <c r="Q23" s="62"/>
      <c r="R23" s="62"/>
      <c r="S23" s="109" t="str">
        <f>Model!F6</f>
        <v>FY2020</v>
      </c>
      <c r="T23" s="109">
        <f>Model!F30</f>
        <v>80.313969330535159</v>
      </c>
      <c r="U23" s="109">
        <f>Model!F31</f>
        <v>13.8783425584972</v>
      </c>
      <c r="V23" s="109">
        <f>Model!F32</f>
        <v>2.9681667486504395</v>
      </c>
      <c r="W23" s="109">
        <f>-Model!F33</f>
        <v>-30.756618916164914</v>
      </c>
      <c r="X23" s="109">
        <f>-Model!F34</f>
        <v>-41.476979356162055</v>
      </c>
    </row>
    <row r="24" spans="1:24">
      <c r="A24" s="46" t="str">
        <f>Model!G6</f>
        <v>FY2021</v>
      </c>
      <c r="B24" s="67">
        <f>Model!G30</f>
        <v>78.573363399749056</v>
      </c>
      <c r="C24" s="67">
        <f>Model!G31</f>
        <v>14.801709976778142</v>
      </c>
      <c r="D24" s="67">
        <f>Model!G32</f>
        <v>3.8822149214458737</v>
      </c>
      <c r="E24" s="67">
        <f>Model!G33</f>
        <v>30.999055655300058</v>
      </c>
      <c r="F24" s="67">
        <f>Model!G34</f>
        <v>39.624984227475458</v>
      </c>
      <c r="G24" s="67">
        <f>Model!G93</f>
        <v>51.45652266589488</v>
      </c>
      <c r="H24" s="67">
        <f>Model!G94</f>
        <v>26.633248415197563</v>
      </c>
      <c r="I24" s="62"/>
      <c r="J24" s="62"/>
      <c r="K24" s="62"/>
      <c r="L24" s="62"/>
      <c r="M24" s="62"/>
      <c r="N24" s="62"/>
      <c r="O24" s="62"/>
      <c r="P24" s="62"/>
      <c r="Q24" s="62"/>
      <c r="R24" s="62"/>
      <c r="S24" s="109" t="str">
        <f>Model!G6</f>
        <v>FY2021</v>
      </c>
      <c r="T24" s="109">
        <f>Model!G30</f>
        <v>78.573363399749056</v>
      </c>
      <c r="U24" s="109">
        <f>Model!G31</f>
        <v>14.801709976778142</v>
      </c>
      <c r="V24" s="109">
        <f>Model!G32</f>
        <v>3.8822149214458737</v>
      </c>
      <c r="W24" s="109">
        <f>-Model!G33</f>
        <v>-30.999055655300058</v>
      </c>
      <c r="X24" s="109">
        <f>-Model!G34</f>
        <v>-39.624984227475458</v>
      </c>
    </row>
    <row r="25" spans="1:24">
      <c r="A25" s="106" t="str">
        <f>Model!H6</f>
        <v>FY2022</v>
      </c>
      <c r="B25" s="107">
        <f>Model!H30</f>
        <v>87.338167465192356</v>
      </c>
      <c r="C25" s="107">
        <f>Model!H31</f>
        <v>11.947374807388268</v>
      </c>
      <c r="D25" s="107">
        <f>Model!H32</f>
        <v>7.2241046158255537</v>
      </c>
      <c r="E25" s="107">
        <f>Model!H33</f>
        <v>40.086851447147687</v>
      </c>
      <c r="F25" s="107">
        <f>Model!H34</f>
        <v>37.944948143105428</v>
      </c>
      <c r="G25" s="107">
        <f>Model!H93</f>
        <v>54.475420633870222</v>
      </c>
      <c r="H25" s="107">
        <f>Model!H94</f>
        <v>28.477847298153073</v>
      </c>
      <c r="I25" s="62"/>
      <c r="J25" s="62"/>
      <c r="K25" s="62"/>
      <c r="L25" s="62"/>
      <c r="M25" s="62"/>
      <c r="N25" s="62"/>
      <c r="O25" s="62"/>
      <c r="P25" s="62"/>
      <c r="Q25" s="62"/>
      <c r="R25" s="62"/>
      <c r="S25" s="110" t="str">
        <f>Model!H6</f>
        <v>FY2022</v>
      </c>
      <c r="T25" s="110">
        <f>Model!H30</f>
        <v>87.338167465192356</v>
      </c>
      <c r="U25" s="110">
        <f>Model!H31</f>
        <v>11.947374807388268</v>
      </c>
      <c r="V25" s="110">
        <f>Model!H32</f>
        <v>7.2241046158255537</v>
      </c>
      <c r="W25" s="110">
        <f>-Model!H33</f>
        <v>-40.086851447147687</v>
      </c>
      <c r="X25" s="110">
        <f>-Model!H34</f>
        <v>-37.944948143105428</v>
      </c>
    </row>
    <row r="26" spans="1:24">
      <c r="A26" s="46" t="str">
        <f>Model!I6</f>
        <v>FY2023</v>
      </c>
      <c r="B26" s="67">
        <f>Model!I30</f>
        <v>98.239314491708669</v>
      </c>
      <c r="C26" s="67">
        <f>Model!I31</f>
        <v>11.439024066335318</v>
      </c>
      <c r="D26" s="67">
        <f>Model!I32</f>
        <v>7.3326270378364029</v>
      </c>
      <c r="E26" s="67">
        <f>Model!I33</f>
        <v>49.431147379241274</v>
      </c>
      <c r="F26" s="67">
        <f>Model!I34</f>
        <v>39.643284989399838</v>
      </c>
      <c r="G26" s="67">
        <f>Model!I93</f>
        <v>56.140794150303797</v>
      </c>
      <c r="H26" s="67">
        <f>Model!I94</f>
        <v>27.936533227239288</v>
      </c>
      <c r="I26" s="62"/>
      <c r="J26" s="62"/>
      <c r="K26" s="62"/>
      <c r="L26" s="62"/>
      <c r="M26" s="62"/>
      <c r="N26" s="62"/>
      <c r="O26" s="62"/>
      <c r="P26" s="62"/>
      <c r="Q26" s="62"/>
      <c r="R26" s="62"/>
      <c r="S26" s="109" t="str">
        <f>Model!I6</f>
        <v>FY2023</v>
      </c>
      <c r="T26" s="109">
        <f>Model!I30</f>
        <v>98.239314491708669</v>
      </c>
      <c r="U26" s="109">
        <f>Model!I31</f>
        <v>11.439024066335318</v>
      </c>
      <c r="V26" s="109">
        <f>Model!I32</f>
        <v>7.3326270378364029</v>
      </c>
      <c r="W26" s="109">
        <f>-Model!I33</f>
        <v>-49.431147379241274</v>
      </c>
      <c r="X26" s="109">
        <f>-Model!I34</f>
        <v>-39.643284989399838</v>
      </c>
    </row>
    <row r="27" spans="1:24">
      <c r="A27" s="62"/>
      <c r="B27" s="62"/>
      <c r="C27" s="62"/>
      <c r="D27" s="62"/>
      <c r="E27" s="62"/>
      <c r="F27" s="62"/>
      <c r="G27" s="62"/>
      <c r="H27" s="62"/>
      <c r="I27" s="62"/>
      <c r="J27" s="62"/>
      <c r="K27" s="62"/>
      <c r="L27" s="62"/>
      <c r="M27" s="62"/>
      <c r="N27" s="62"/>
      <c r="O27" s="62"/>
      <c r="P27" s="62"/>
      <c r="Q27" s="62"/>
      <c r="R27" s="62"/>
      <c r="S27" s="62"/>
      <c r="T27" s="62"/>
      <c r="U27" s="62"/>
      <c r="V27" s="62"/>
      <c r="W27" s="62"/>
      <c r="X27" s="62"/>
    </row>
    <row r="28" spans="1:24">
      <c r="A28" s="92" t="s">
        <v>989</v>
      </c>
      <c r="B28" s="92"/>
      <c r="C28" s="92"/>
      <c r="D28" s="92"/>
      <c r="E28" s="62"/>
      <c r="F28" s="62"/>
      <c r="G28" s="62"/>
      <c r="H28" s="62"/>
      <c r="I28" s="62"/>
      <c r="J28" s="92" t="s">
        <v>989</v>
      </c>
      <c r="K28" s="92"/>
      <c r="L28" s="92"/>
      <c r="M28" s="92"/>
      <c r="N28" s="62"/>
      <c r="O28" s="62"/>
      <c r="P28" s="62"/>
      <c r="Q28" s="62"/>
      <c r="R28" s="62"/>
      <c r="S28" s="62"/>
      <c r="T28" s="62"/>
      <c r="U28" s="62"/>
      <c r="V28" s="62"/>
      <c r="W28" s="62"/>
      <c r="X28" s="62"/>
    </row>
    <row r="29" spans="1:24">
      <c r="A29" s="62"/>
      <c r="B29" s="62"/>
      <c r="C29" s="62"/>
      <c r="D29" s="62"/>
      <c r="E29" s="62"/>
      <c r="F29" s="62"/>
      <c r="G29" s="62"/>
      <c r="H29" s="62"/>
      <c r="I29" s="62"/>
      <c r="J29" s="62"/>
      <c r="K29" s="62"/>
      <c r="L29" s="62"/>
      <c r="M29" s="62"/>
      <c r="N29" s="62"/>
      <c r="O29" s="62"/>
      <c r="P29" s="62"/>
      <c r="Q29" s="62"/>
      <c r="R29" s="62"/>
      <c r="S29" s="62"/>
      <c r="T29" s="62"/>
      <c r="U29" s="62"/>
      <c r="V29" s="62"/>
      <c r="W29" s="62"/>
      <c r="X29" s="62"/>
    </row>
    <row r="30" spans="1:24">
      <c r="A30" s="62"/>
      <c r="B30" s="62"/>
      <c r="C30" s="62"/>
      <c r="D30" s="62"/>
      <c r="E30" s="62"/>
      <c r="F30" s="62"/>
      <c r="G30" s="62"/>
      <c r="H30" s="62"/>
      <c r="I30" s="62"/>
      <c r="J30" s="62"/>
      <c r="K30" s="62"/>
      <c r="L30" s="62"/>
      <c r="M30" s="62"/>
      <c r="N30" s="62"/>
      <c r="O30" s="62"/>
      <c r="P30" s="62"/>
      <c r="Q30" s="62"/>
      <c r="R30" s="62"/>
      <c r="S30" s="62"/>
      <c r="T30" s="62"/>
      <c r="U30" s="62"/>
      <c r="V30" s="62"/>
      <c r="W30" s="62"/>
      <c r="X30" s="62"/>
    </row>
    <row r="31" spans="1:24">
      <c r="A31" s="62"/>
      <c r="B31" s="62"/>
      <c r="C31" s="62"/>
      <c r="D31" s="62"/>
      <c r="E31" s="62"/>
      <c r="F31" s="62"/>
      <c r="G31" s="62"/>
      <c r="H31" s="62"/>
      <c r="I31" s="62"/>
      <c r="J31" s="62"/>
      <c r="K31" s="62"/>
      <c r="L31" s="62"/>
      <c r="M31" s="62"/>
      <c r="N31" s="62"/>
      <c r="O31" s="62"/>
      <c r="P31" s="62"/>
      <c r="Q31" s="62"/>
      <c r="R31" s="62"/>
      <c r="S31" s="62"/>
      <c r="T31" s="62"/>
      <c r="U31" s="62"/>
      <c r="V31" s="62"/>
      <c r="W31" s="62"/>
      <c r="X31" s="62"/>
    </row>
    <row r="32" spans="1:24">
      <c r="A32" s="62"/>
      <c r="B32" s="62"/>
      <c r="C32" s="62"/>
      <c r="D32" s="62"/>
      <c r="E32" s="62"/>
      <c r="F32" s="62"/>
      <c r="G32" s="62"/>
      <c r="H32" s="62"/>
      <c r="I32" s="62"/>
      <c r="J32" s="62"/>
      <c r="K32" s="62"/>
      <c r="L32" s="62"/>
      <c r="M32" s="62"/>
      <c r="N32" s="62"/>
      <c r="O32" s="62"/>
      <c r="P32" s="62"/>
      <c r="Q32" s="62"/>
      <c r="R32" s="62"/>
      <c r="S32" s="62"/>
      <c r="T32" s="62"/>
      <c r="U32" s="62"/>
      <c r="V32" s="62"/>
      <c r="W32" s="62"/>
      <c r="X32" s="62"/>
    </row>
    <row r="33" spans="1:24">
      <c r="A33" s="62"/>
      <c r="B33" s="62"/>
      <c r="C33" s="62"/>
      <c r="D33" s="62"/>
      <c r="E33" s="62"/>
      <c r="F33" s="62"/>
      <c r="G33" s="62"/>
      <c r="H33" s="62"/>
      <c r="I33" s="62"/>
      <c r="J33" s="62"/>
      <c r="K33" s="62"/>
      <c r="L33" s="62"/>
      <c r="M33" s="62"/>
      <c r="N33" s="62"/>
      <c r="O33" s="62"/>
      <c r="P33" s="62"/>
      <c r="Q33" s="62"/>
      <c r="R33" s="62"/>
      <c r="S33" s="62"/>
      <c r="T33" s="62"/>
      <c r="U33" s="62"/>
      <c r="V33" s="62"/>
      <c r="W33" s="62"/>
      <c r="X33" s="62"/>
    </row>
    <row r="34" spans="1:24">
      <c r="A34" s="62"/>
      <c r="B34" s="62"/>
      <c r="C34" s="62"/>
      <c r="D34" s="62"/>
      <c r="E34" s="62"/>
      <c r="F34" s="62"/>
      <c r="G34" s="62"/>
      <c r="H34" s="62"/>
      <c r="I34" s="62"/>
      <c r="J34" s="62"/>
      <c r="K34" s="62"/>
      <c r="L34" s="62"/>
      <c r="M34" s="62"/>
      <c r="N34" s="62"/>
      <c r="O34" s="62"/>
      <c r="P34" s="62"/>
      <c r="Q34" s="62"/>
      <c r="R34" s="62"/>
      <c r="S34" s="62"/>
      <c r="T34" s="62"/>
      <c r="U34" s="62"/>
      <c r="V34" s="62"/>
      <c r="W34" s="62"/>
      <c r="X34" s="62"/>
    </row>
    <row r="35" spans="1:24">
      <c r="A35" s="62"/>
      <c r="B35" s="62"/>
      <c r="C35" s="62"/>
      <c r="D35" s="62"/>
      <c r="E35" s="62"/>
      <c r="F35" s="62"/>
      <c r="G35" s="62"/>
      <c r="H35" s="62"/>
      <c r="I35" s="62"/>
      <c r="J35" s="62"/>
      <c r="K35" s="62"/>
      <c r="L35" s="62"/>
      <c r="M35" s="62"/>
      <c r="N35" s="62"/>
      <c r="O35" s="62"/>
      <c r="P35" s="62"/>
      <c r="Q35" s="62"/>
      <c r="R35" s="62"/>
      <c r="S35" s="62"/>
      <c r="T35" s="62"/>
      <c r="U35" s="62"/>
      <c r="V35" s="62"/>
      <c r="W35" s="62"/>
      <c r="X35" s="62"/>
    </row>
    <row r="36" spans="1:24">
      <c r="A36" s="62"/>
      <c r="B36" s="62"/>
      <c r="C36" s="62"/>
      <c r="D36" s="62"/>
      <c r="E36" s="62"/>
      <c r="F36" s="62"/>
      <c r="G36" s="62"/>
      <c r="H36" s="62"/>
      <c r="I36" s="62"/>
      <c r="J36" s="62"/>
      <c r="K36" s="62"/>
      <c r="L36" s="62"/>
      <c r="M36" s="62"/>
      <c r="N36" s="62"/>
      <c r="O36" s="62"/>
      <c r="P36" s="62"/>
      <c r="Q36" s="62"/>
      <c r="R36" s="62"/>
      <c r="S36" s="62"/>
      <c r="T36" s="62"/>
      <c r="U36" s="62"/>
      <c r="V36" s="62"/>
      <c r="W36" s="62"/>
      <c r="X36" s="62"/>
    </row>
    <row r="37" spans="1:24">
      <c r="A37" s="62"/>
      <c r="B37" s="62"/>
      <c r="C37" s="62"/>
      <c r="D37" s="62"/>
      <c r="E37" s="62"/>
      <c r="F37" s="62"/>
      <c r="G37" s="62"/>
      <c r="H37" s="62"/>
      <c r="I37" s="62"/>
      <c r="J37" s="62"/>
      <c r="K37" s="62"/>
      <c r="L37" s="62"/>
      <c r="M37" s="62"/>
      <c r="N37" s="62"/>
      <c r="O37" s="62"/>
      <c r="P37" s="62"/>
      <c r="Q37" s="62"/>
      <c r="R37" s="62"/>
      <c r="S37" s="62"/>
      <c r="T37" s="62"/>
      <c r="U37" s="62"/>
      <c r="V37" s="62"/>
      <c r="W37" s="62"/>
      <c r="X37" s="62"/>
    </row>
    <row r="38" spans="1:24">
      <c r="A38" s="62"/>
      <c r="B38" s="62"/>
      <c r="C38" s="62"/>
      <c r="D38" s="62"/>
      <c r="E38" s="62"/>
      <c r="F38" s="62"/>
      <c r="G38" s="62"/>
      <c r="H38" s="62"/>
      <c r="I38" s="62"/>
      <c r="J38" s="62"/>
      <c r="K38" s="62"/>
      <c r="L38" s="62"/>
      <c r="M38" s="62"/>
      <c r="N38" s="62"/>
      <c r="O38" s="62"/>
      <c r="P38" s="62"/>
      <c r="Q38" s="62"/>
      <c r="R38" s="62"/>
      <c r="S38" s="62"/>
      <c r="T38" s="62"/>
      <c r="U38" s="62"/>
      <c r="V38" s="62"/>
      <c r="W38" s="62"/>
      <c r="X38" s="62"/>
    </row>
    <row r="39" spans="1:24">
      <c r="A39" s="62"/>
      <c r="B39" s="62"/>
      <c r="C39" s="62"/>
      <c r="D39" s="62"/>
      <c r="E39" s="62"/>
      <c r="F39" s="62"/>
      <c r="G39" s="62"/>
      <c r="H39" s="62"/>
      <c r="I39" s="62"/>
      <c r="J39" s="62"/>
      <c r="K39" s="62"/>
      <c r="L39" s="62"/>
      <c r="M39" s="62"/>
      <c r="N39" s="62"/>
      <c r="O39" s="62"/>
      <c r="P39" s="62"/>
      <c r="Q39" s="62"/>
      <c r="R39" s="62"/>
      <c r="S39" s="62"/>
      <c r="T39" s="62"/>
      <c r="U39" s="62"/>
      <c r="V39" s="62"/>
      <c r="W39" s="62"/>
      <c r="X39" s="62"/>
    </row>
    <row r="40" spans="1:24">
      <c r="A40" s="62"/>
      <c r="B40" s="62"/>
      <c r="C40" s="62"/>
      <c r="D40" s="62"/>
      <c r="E40" s="62"/>
      <c r="F40" s="62"/>
      <c r="G40" s="62"/>
      <c r="H40" s="62"/>
      <c r="I40" s="62"/>
      <c r="J40" s="62"/>
      <c r="K40" s="62"/>
      <c r="L40" s="62"/>
      <c r="M40" s="62"/>
      <c r="N40" s="62"/>
      <c r="O40" s="62"/>
      <c r="P40" s="62"/>
      <c r="Q40" s="62"/>
      <c r="R40" s="62"/>
      <c r="S40" s="62"/>
      <c r="T40" s="62"/>
      <c r="U40" s="62"/>
      <c r="V40" s="62"/>
      <c r="W40" s="62"/>
      <c r="X40" s="62"/>
    </row>
    <row r="41" spans="1:24">
      <c r="A41" s="62"/>
      <c r="B41" s="62"/>
      <c r="C41" s="62"/>
      <c r="D41" s="62"/>
      <c r="E41" s="62"/>
      <c r="F41" s="62"/>
      <c r="G41" s="62"/>
      <c r="H41" s="62"/>
      <c r="I41" s="62"/>
      <c r="J41" s="62"/>
      <c r="K41" s="62"/>
      <c r="L41" s="62"/>
      <c r="M41" s="62"/>
      <c r="N41" s="62"/>
      <c r="O41" s="62"/>
      <c r="P41" s="62"/>
      <c r="Q41" s="62"/>
      <c r="R41" s="62"/>
      <c r="S41" s="62"/>
      <c r="T41" s="62"/>
      <c r="U41" s="62"/>
      <c r="V41" s="62"/>
      <c r="W41" s="62"/>
      <c r="X41" s="62"/>
    </row>
    <row r="42" spans="1:24">
      <c r="A42" s="62"/>
      <c r="B42" s="62"/>
      <c r="C42" s="62"/>
      <c r="D42" s="62"/>
      <c r="E42" s="62"/>
      <c r="F42" s="62"/>
      <c r="G42" s="62"/>
      <c r="H42" s="62"/>
      <c r="I42" s="62"/>
      <c r="J42" s="62"/>
      <c r="K42" s="62"/>
      <c r="L42" s="62"/>
      <c r="M42" s="62"/>
      <c r="N42" s="62"/>
      <c r="O42" s="62"/>
      <c r="P42" s="62"/>
      <c r="Q42" s="62"/>
      <c r="R42" s="62"/>
      <c r="S42" s="62"/>
      <c r="T42" s="62"/>
      <c r="U42" s="62"/>
      <c r="V42" s="62"/>
      <c r="W42" s="62"/>
      <c r="X42" s="62"/>
    </row>
    <row r="43" spans="1:24">
      <c r="A43" s="62"/>
      <c r="B43" s="62"/>
      <c r="C43" s="62"/>
      <c r="D43" s="62"/>
      <c r="E43" s="62"/>
      <c r="F43" s="62"/>
      <c r="G43" s="62"/>
      <c r="H43" s="62"/>
      <c r="I43" s="62"/>
      <c r="J43" s="62"/>
      <c r="K43" s="62"/>
      <c r="L43" s="62"/>
      <c r="M43" s="62"/>
      <c r="N43" s="62"/>
      <c r="O43" s="62"/>
      <c r="P43" s="62"/>
      <c r="Q43" s="62"/>
      <c r="R43" s="62"/>
      <c r="S43" s="62"/>
      <c r="T43" s="62"/>
      <c r="U43" s="62"/>
      <c r="V43" s="62"/>
      <c r="W43" s="62"/>
      <c r="X43" s="62"/>
    </row>
    <row r="44" spans="1:24">
      <c r="A44" s="62"/>
      <c r="B44" s="62"/>
      <c r="C44" s="62"/>
      <c r="D44" s="62"/>
      <c r="E44" s="62"/>
      <c r="F44" s="62"/>
      <c r="G44" s="62"/>
      <c r="H44" s="62"/>
      <c r="I44" s="62"/>
      <c r="J44" s="62"/>
      <c r="K44" s="62"/>
      <c r="L44" s="62"/>
      <c r="M44" s="62"/>
      <c r="N44" s="62"/>
      <c r="O44" s="62"/>
      <c r="P44" s="62"/>
      <c r="Q44" s="62"/>
      <c r="R44" s="62"/>
      <c r="S44" s="62"/>
      <c r="T44" s="62"/>
      <c r="U44" s="62"/>
      <c r="V44" s="62"/>
      <c r="W44" s="62"/>
      <c r="X44" s="62"/>
    </row>
    <row r="45" spans="1:24">
      <c r="A45" s="62"/>
      <c r="B45" s="62"/>
      <c r="C45" s="62"/>
      <c r="D45" s="62"/>
      <c r="E45" s="62"/>
      <c r="F45" s="62"/>
      <c r="G45" s="62"/>
      <c r="H45" s="62"/>
      <c r="I45" s="62"/>
      <c r="J45" s="62"/>
      <c r="K45" s="62"/>
      <c r="L45" s="62"/>
      <c r="M45" s="62"/>
      <c r="N45" s="62"/>
      <c r="O45" s="62"/>
      <c r="P45" s="62"/>
      <c r="Q45" s="62"/>
      <c r="R45" s="62"/>
      <c r="S45" s="62"/>
      <c r="T45" s="62"/>
      <c r="U45" s="62"/>
      <c r="V45" s="62"/>
      <c r="W45" s="62"/>
      <c r="X45" s="62"/>
    </row>
    <row r="46" spans="1:24">
      <c r="A46" s="92" t="s">
        <v>989</v>
      </c>
      <c r="B46" s="92"/>
      <c r="C46" s="92"/>
      <c r="D46" s="92"/>
      <c r="E46" s="62"/>
      <c r="F46" s="62"/>
      <c r="G46" s="62"/>
      <c r="H46" s="62"/>
      <c r="I46" s="62"/>
      <c r="J46" s="92" t="s">
        <v>989</v>
      </c>
      <c r="K46" s="92"/>
      <c r="L46" s="92"/>
      <c r="M46" s="92"/>
      <c r="N46" s="62"/>
      <c r="O46" s="62"/>
      <c r="P46" s="62"/>
      <c r="Q46" s="62"/>
      <c r="R46" s="62"/>
      <c r="S46" s="62"/>
      <c r="T46" s="62"/>
      <c r="U46" s="62"/>
      <c r="V46" s="62"/>
      <c r="W46" s="62"/>
      <c r="X46" s="62"/>
    </row>
    <row r="47" spans="1:24">
      <c r="A47" s="62"/>
      <c r="B47" s="62"/>
      <c r="C47" s="62"/>
      <c r="D47" s="62"/>
      <c r="E47" s="62"/>
      <c r="F47" s="62"/>
      <c r="G47" s="62"/>
      <c r="H47" s="62"/>
      <c r="I47" s="62"/>
      <c r="J47" s="62"/>
      <c r="K47" s="62"/>
      <c r="L47" s="62"/>
      <c r="M47" s="62"/>
      <c r="N47" s="62"/>
      <c r="O47" s="62"/>
      <c r="P47" s="62"/>
      <c r="Q47" s="62"/>
      <c r="R47" s="62"/>
      <c r="S47" s="62"/>
      <c r="T47" s="62"/>
      <c r="U47" s="62"/>
      <c r="V47" s="62"/>
      <c r="W47" s="62"/>
      <c r="X47" s="62"/>
    </row>
    <row r="48" spans="1:24">
      <c r="A48" s="62"/>
      <c r="B48" s="62"/>
      <c r="C48" s="62"/>
      <c r="D48" s="62"/>
      <c r="E48" s="62"/>
      <c r="F48" s="62"/>
      <c r="G48" s="62"/>
      <c r="H48" s="62"/>
      <c r="I48" s="62"/>
      <c r="J48" s="62"/>
      <c r="K48" s="62"/>
      <c r="L48" s="62"/>
      <c r="M48" s="62"/>
      <c r="N48" s="62"/>
      <c r="O48" s="62"/>
      <c r="P48" s="62"/>
      <c r="Q48" s="62"/>
      <c r="R48" s="62"/>
      <c r="S48" s="62"/>
      <c r="T48" s="62"/>
      <c r="U48" s="62"/>
      <c r="V48" s="62"/>
      <c r="W48" s="62"/>
      <c r="X48" s="62"/>
    </row>
    <row r="49" spans="1:24">
      <c r="A49" s="62"/>
      <c r="B49" s="62"/>
      <c r="C49" s="62"/>
      <c r="D49" s="62"/>
      <c r="E49" s="62"/>
      <c r="F49" s="62"/>
      <c r="G49" s="62"/>
      <c r="H49" s="62"/>
      <c r="I49" s="62"/>
      <c r="J49" s="62"/>
      <c r="K49" s="62"/>
      <c r="L49" s="62"/>
      <c r="M49" s="62"/>
      <c r="N49" s="62"/>
      <c r="O49" s="62"/>
      <c r="P49" s="62"/>
      <c r="Q49" s="62"/>
      <c r="R49" s="62"/>
      <c r="S49" s="62"/>
      <c r="T49" s="62"/>
      <c r="U49" s="62"/>
      <c r="V49" s="62"/>
      <c r="W49" s="62"/>
      <c r="X49" s="62"/>
    </row>
    <row r="50" spans="1:24">
      <c r="A50" s="62"/>
      <c r="B50" s="62"/>
      <c r="C50" s="62"/>
      <c r="D50" s="62"/>
      <c r="E50" s="62"/>
      <c r="F50" s="62"/>
      <c r="G50" s="62"/>
      <c r="H50" s="62"/>
      <c r="I50" s="62"/>
      <c r="J50" s="62"/>
      <c r="K50" s="62"/>
      <c r="L50" s="62"/>
      <c r="M50" s="62"/>
      <c r="N50" s="62"/>
      <c r="O50" s="62"/>
      <c r="P50" s="62"/>
      <c r="Q50" s="62"/>
      <c r="R50" s="62"/>
      <c r="S50" s="62"/>
      <c r="T50" s="62"/>
      <c r="U50" s="62"/>
      <c r="V50" s="62"/>
      <c r="W50" s="62"/>
      <c r="X50" s="62"/>
    </row>
    <row r="51" spans="1:24">
      <c r="A51" s="62"/>
      <c r="B51" s="62"/>
      <c r="C51" s="62"/>
      <c r="D51" s="62"/>
      <c r="E51" s="62"/>
      <c r="F51" s="62"/>
      <c r="G51" s="62"/>
      <c r="H51" s="62"/>
      <c r="I51" s="62"/>
      <c r="J51" s="62"/>
      <c r="K51" s="62"/>
      <c r="L51" s="62"/>
      <c r="M51" s="62"/>
      <c r="N51" s="62"/>
      <c r="O51" s="62"/>
      <c r="P51" s="62"/>
      <c r="Q51" s="62"/>
      <c r="R51" s="62"/>
      <c r="S51" s="62"/>
      <c r="T51" s="62"/>
      <c r="U51" s="62"/>
      <c r="V51" s="62"/>
      <c r="W51" s="62"/>
      <c r="X51" s="62"/>
    </row>
    <row r="52" spans="1:24">
      <c r="A52" s="62"/>
      <c r="B52" s="62"/>
      <c r="C52" s="62"/>
      <c r="D52" s="62"/>
      <c r="E52" s="62"/>
      <c r="F52" s="62"/>
      <c r="G52" s="62"/>
      <c r="H52" s="62"/>
      <c r="I52" s="62"/>
      <c r="J52" s="62"/>
      <c r="K52" s="62"/>
      <c r="L52" s="62"/>
      <c r="M52" s="62"/>
      <c r="N52" s="62"/>
      <c r="O52" s="62"/>
      <c r="P52" s="62"/>
      <c r="Q52" s="62"/>
      <c r="R52" s="62"/>
      <c r="S52" s="62"/>
      <c r="T52" s="62"/>
      <c r="U52" s="62"/>
      <c r="V52" s="62"/>
      <c r="W52" s="62"/>
      <c r="X52" s="62"/>
    </row>
    <row r="53" spans="1:24">
      <c r="A53" s="62"/>
      <c r="B53" s="62"/>
      <c r="C53" s="62"/>
      <c r="D53" s="62"/>
      <c r="E53" s="62"/>
      <c r="F53" s="62"/>
      <c r="G53" s="62"/>
      <c r="H53" s="62"/>
      <c r="I53" s="62"/>
      <c r="J53" s="62"/>
      <c r="K53" s="62"/>
      <c r="L53" s="62"/>
      <c r="M53" s="62"/>
      <c r="N53" s="62"/>
      <c r="O53" s="62"/>
      <c r="P53" s="62"/>
      <c r="Q53" s="62"/>
      <c r="R53" s="62"/>
      <c r="S53" s="62"/>
      <c r="T53" s="62"/>
      <c r="U53" s="62"/>
      <c r="V53" s="62"/>
      <c r="W53" s="62"/>
      <c r="X53" s="62"/>
    </row>
    <row r="54" spans="1:24">
      <c r="A54" s="62"/>
      <c r="B54" s="62"/>
      <c r="C54" s="62"/>
      <c r="D54" s="62"/>
      <c r="E54" s="62"/>
      <c r="F54" s="62"/>
      <c r="G54" s="62"/>
      <c r="H54" s="62"/>
      <c r="I54" s="62"/>
      <c r="J54" s="62"/>
      <c r="K54" s="62"/>
      <c r="L54" s="62"/>
      <c r="M54" s="62"/>
      <c r="N54" s="62"/>
      <c r="O54" s="62"/>
      <c r="P54" s="62"/>
      <c r="Q54" s="62"/>
      <c r="R54" s="62"/>
      <c r="S54" s="62"/>
      <c r="T54" s="62"/>
      <c r="U54" s="62"/>
      <c r="V54" s="62"/>
      <c r="W54" s="62"/>
      <c r="X54" s="62"/>
    </row>
    <row r="55" spans="1:24">
      <c r="A55" s="62"/>
      <c r="B55" s="62"/>
      <c r="C55" s="62"/>
      <c r="D55" s="62"/>
      <c r="E55" s="62"/>
      <c r="F55" s="62"/>
      <c r="G55" s="62"/>
      <c r="H55" s="62"/>
      <c r="I55" s="62"/>
      <c r="J55" s="62"/>
      <c r="K55" s="62"/>
      <c r="L55" s="62"/>
      <c r="M55" s="62"/>
      <c r="N55" s="62"/>
      <c r="O55" s="62"/>
      <c r="P55" s="62"/>
      <c r="Q55" s="62"/>
      <c r="R55" s="62"/>
      <c r="S55" s="62"/>
      <c r="T55" s="62"/>
      <c r="U55" s="62"/>
      <c r="V55" s="62"/>
      <c r="W55" s="62"/>
      <c r="X55" s="62"/>
    </row>
    <row r="56" spans="1:24">
      <c r="A56" s="62"/>
      <c r="B56" s="62"/>
      <c r="C56" s="62"/>
      <c r="D56" s="62"/>
      <c r="E56" s="62"/>
      <c r="F56" s="62"/>
      <c r="G56" s="62"/>
      <c r="H56" s="62"/>
      <c r="I56" s="62"/>
      <c r="J56" s="62"/>
      <c r="K56" s="62"/>
      <c r="L56" s="62"/>
      <c r="M56" s="62"/>
      <c r="N56" s="62"/>
      <c r="O56" s="62"/>
      <c r="P56" s="62"/>
      <c r="Q56" s="62"/>
      <c r="R56" s="62"/>
      <c r="S56" s="62"/>
      <c r="T56" s="62"/>
      <c r="U56" s="62"/>
      <c r="V56" s="62"/>
      <c r="W56" s="62"/>
      <c r="X56" s="62"/>
    </row>
    <row r="57" spans="1:24">
      <c r="A57" s="62"/>
      <c r="B57" s="62"/>
      <c r="C57" s="62"/>
      <c r="D57" s="62"/>
      <c r="E57" s="62"/>
      <c r="F57" s="62"/>
      <c r="G57" s="62"/>
      <c r="H57" s="62"/>
      <c r="I57" s="62"/>
      <c r="J57" s="62"/>
      <c r="K57" s="62"/>
      <c r="L57" s="62"/>
      <c r="M57" s="62"/>
      <c r="N57" s="62"/>
      <c r="O57" s="62"/>
      <c r="P57" s="62"/>
      <c r="Q57" s="62"/>
      <c r="R57" s="62"/>
      <c r="S57" s="62"/>
      <c r="T57" s="62"/>
      <c r="U57" s="62"/>
      <c r="V57" s="62"/>
      <c r="W57" s="62"/>
      <c r="X57" s="62"/>
    </row>
    <row r="58" spans="1:24">
      <c r="A58" s="62"/>
      <c r="B58" s="62"/>
      <c r="C58" s="62"/>
      <c r="D58" s="62"/>
      <c r="E58" s="62"/>
      <c r="F58" s="62"/>
      <c r="G58" s="62"/>
      <c r="H58" s="62"/>
      <c r="I58" s="62"/>
      <c r="J58" s="62"/>
      <c r="K58" s="62"/>
      <c r="L58" s="62"/>
      <c r="M58" s="62"/>
      <c r="N58" s="62"/>
      <c r="O58" s="62"/>
      <c r="P58" s="62"/>
      <c r="Q58" s="62"/>
      <c r="R58" s="62"/>
      <c r="S58" s="62"/>
      <c r="T58" s="62"/>
      <c r="U58" s="62"/>
      <c r="V58" s="62"/>
      <c r="W58" s="62"/>
      <c r="X58" s="62"/>
    </row>
    <row r="59" spans="1:24">
      <c r="A59" s="62"/>
      <c r="B59" s="62"/>
      <c r="C59" s="62"/>
      <c r="D59" s="62"/>
      <c r="E59" s="62"/>
      <c r="F59" s="62"/>
      <c r="G59" s="62"/>
      <c r="H59" s="62"/>
      <c r="I59" s="62"/>
      <c r="J59" s="62"/>
      <c r="K59" s="62"/>
      <c r="L59" s="62"/>
      <c r="M59" s="62"/>
      <c r="N59" s="62"/>
      <c r="O59" s="62"/>
      <c r="P59" s="62"/>
      <c r="Q59" s="62"/>
      <c r="R59" s="62"/>
      <c r="S59" s="62"/>
      <c r="T59" s="62"/>
      <c r="U59" s="62"/>
      <c r="V59" s="62"/>
      <c r="W59" s="62"/>
      <c r="X59" s="62"/>
    </row>
    <row r="60" spans="1:24">
      <c r="A60" s="62"/>
      <c r="B60" s="62"/>
      <c r="C60" s="62"/>
      <c r="D60" s="62"/>
      <c r="E60" s="62"/>
      <c r="F60" s="62"/>
      <c r="G60" s="62"/>
      <c r="H60" s="62"/>
      <c r="I60" s="62"/>
      <c r="J60" s="62"/>
      <c r="K60" s="62"/>
      <c r="L60" s="62"/>
      <c r="M60" s="62"/>
      <c r="N60" s="62"/>
      <c r="O60" s="62"/>
      <c r="P60" s="62"/>
      <c r="Q60" s="62"/>
      <c r="R60" s="62"/>
      <c r="S60" s="62"/>
      <c r="T60" s="62"/>
      <c r="U60" s="62"/>
      <c r="V60" s="62"/>
      <c r="W60" s="62"/>
      <c r="X60" s="62"/>
    </row>
    <row r="61" spans="1:24">
      <c r="A61" s="62"/>
      <c r="B61" s="62"/>
      <c r="C61" s="62"/>
      <c r="D61" s="62"/>
      <c r="E61" s="62"/>
      <c r="F61" s="62"/>
      <c r="G61" s="62"/>
      <c r="H61" s="62"/>
      <c r="I61" s="62"/>
      <c r="J61" s="62"/>
      <c r="K61" s="62"/>
      <c r="L61" s="62"/>
      <c r="M61" s="62"/>
      <c r="N61" s="62"/>
      <c r="O61" s="62"/>
      <c r="P61" s="62"/>
      <c r="Q61" s="62"/>
      <c r="R61" s="62"/>
      <c r="S61" s="62"/>
      <c r="T61" s="62"/>
      <c r="U61" s="62"/>
      <c r="V61" s="62"/>
      <c r="W61" s="62"/>
      <c r="X61" s="62"/>
    </row>
    <row r="62" spans="1:24">
      <c r="A62" s="62"/>
      <c r="B62" s="62"/>
      <c r="C62" s="62"/>
      <c r="D62" s="62"/>
      <c r="E62" s="62"/>
      <c r="F62" s="62"/>
      <c r="G62" s="62"/>
      <c r="H62" s="62"/>
      <c r="I62" s="62"/>
      <c r="J62" s="62"/>
      <c r="K62" s="62"/>
      <c r="L62" s="62"/>
      <c r="M62" s="62"/>
      <c r="N62" s="62"/>
      <c r="O62" s="62"/>
      <c r="P62" s="62"/>
      <c r="Q62" s="62"/>
      <c r="R62" s="62"/>
      <c r="S62" s="62"/>
      <c r="T62" s="62"/>
      <c r="U62" s="62"/>
      <c r="V62" s="62"/>
      <c r="W62" s="62"/>
      <c r="X62" s="62"/>
    </row>
    <row r="63" spans="1:24">
      <c r="A63" s="62"/>
      <c r="B63" s="62"/>
      <c r="C63" s="62"/>
      <c r="D63" s="62"/>
      <c r="E63" s="62"/>
      <c r="F63" s="62"/>
      <c r="G63" s="62"/>
      <c r="H63" s="62"/>
      <c r="I63" s="62"/>
      <c r="J63" s="62"/>
      <c r="K63" s="62"/>
      <c r="L63" s="62"/>
      <c r="M63" s="62"/>
      <c r="N63" s="62"/>
      <c r="O63" s="62"/>
      <c r="P63" s="62"/>
      <c r="Q63" s="62"/>
      <c r="R63" s="62"/>
      <c r="S63" s="62"/>
      <c r="T63" s="62"/>
      <c r="U63" s="62"/>
      <c r="V63" s="62"/>
      <c r="W63" s="62"/>
      <c r="X63" s="62"/>
    </row>
    <row r="64" spans="1:24">
      <c r="A64" s="92" t="s">
        <v>989</v>
      </c>
      <c r="B64" s="92"/>
      <c r="C64" s="92"/>
      <c r="D64" s="92"/>
      <c r="E64" s="62"/>
      <c r="F64" s="62"/>
      <c r="G64" s="62"/>
      <c r="H64" s="62"/>
      <c r="I64" s="62"/>
      <c r="J64" s="62"/>
      <c r="K64" s="62"/>
      <c r="L64" s="62"/>
      <c r="M64" s="62"/>
      <c r="N64" s="62"/>
      <c r="O64" s="62"/>
      <c r="P64" s="62"/>
      <c r="Q64" s="62"/>
      <c r="R64" s="62"/>
      <c r="S64" s="62"/>
      <c r="T64" s="62"/>
      <c r="U64" s="62"/>
      <c r="V64" s="62"/>
      <c r="W64" s="62"/>
      <c r="X64" s="62"/>
    </row>
    <row r="65" spans="1:24">
      <c r="A65" s="62"/>
      <c r="B65" s="62"/>
      <c r="C65" s="62"/>
      <c r="D65" s="62"/>
      <c r="E65" s="62"/>
      <c r="F65" s="62"/>
      <c r="G65" s="62"/>
      <c r="H65" s="62"/>
      <c r="I65" s="62"/>
      <c r="J65" s="62"/>
      <c r="K65" s="62"/>
      <c r="L65" s="62"/>
      <c r="M65" s="62"/>
      <c r="N65" s="62"/>
      <c r="O65" s="62"/>
      <c r="P65" s="62"/>
      <c r="Q65" s="62"/>
      <c r="R65" s="62"/>
      <c r="S65" s="62"/>
      <c r="T65" s="62"/>
      <c r="U65" s="62"/>
      <c r="V65" s="62"/>
      <c r="W65" s="62"/>
      <c r="X65" s="62"/>
    </row>
    <row r="66" spans="1:24">
      <c r="A66" s="62"/>
      <c r="B66" s="62"/>
      <c r="C66" s="62"/>
      <c r="D66" s="62"/>
      <c r="E66" s="62"/>
      <c r="F66" s="62"/>
      <c r="G66" s="62"/>
      <c r="H66" s="62"/>
      <c r="I66" s="62"/>
      <c r="J66" s="62"/>
      <c r="K66" s="62"/>
      <c r="L66" s="62"/>
      <c r="M66" s="62"/>
      <c r="N66" s="62"/>
      <c r="O66" s="62"/>
      <c r="P66" s="62"/>
      <c r="Q66" s="62"/>
      <c r="R66" s="62"/>
      <c r="S66" s="62"/>
      <c r="T66" s="62"/>
      <c r="U66" s="62"/>
      <c r="V66" s="62"/>
      <c r="W66" s="62"/>
      <c r="X66" s="62"/>
    </row>
    <row r="67" spans="1:24">
      <c r="A67" s="62"/>
      <c r="B67" s="62"/>
      <c r="C67" s="62"/>
      <c r="D67" s="62"/>
      <c r="E67" s="62"/>
      <c r="F67" s="62"/>
      <c r="G67" s="62"/>
      <c r="H67" s="62"/>
      <c r="I67" s="62"/>
      <c r="J67" s="62"/>
      <c r="K67" s="62"/>
      <c r="L67" s="62"/>
      <c r="M67" s="62"/>
      <c r="N67" s="62"/>
      <c r="O67" s="62"/>
      <c r="P67" s="62"/>
      <c r="Q67" s="62"/>
      <c r="R67" s="62"/>
      <c r="S67" s="62"/>
      <c r="T67" s="62"/>
      <c r="U67" s="62"/>
      <c r="V67" s="62"/>
      <c r="W67" s="62"/>
      <c r="X67" s="62"/>
    </row>
    <row r="68" spans="1:24">
      <c r="A68" s="62"/>
      <c r="B68" s="62"/>
      <c r="C68" s="62"/>
      <c r="D68" s="62"/>
      <c r="E68" s="62"/>
      <c r="F68" s="62"/>
      <c r="G68" s="62"/>
      <c r="H68" s="62"/>
      <c r="I68" s="62"/>
      <c r="J68" s="62"/>
      <c r="K68" s="62"/>
      <c r="L68" s="62"/>
      <c r="M68" s="62"/>
      <c r="N68" s="62"/>
      <c r="O68" s="62"/>
      <c r="P68" s="62"/>
      <c r="Q68" s="62"/>
      <c r="R68" s="62"/>
      <c r="S68" s="62"/>
      <c r="T68" s="62"/>
      <c r="U68" s="62"/>
      <c r="V68" s="62"/>
      <c r="W68" s="62"/>
      <c r="X68" s="62"/>
    </row>
    <row r="69" spans="1:24">
      <c r="A69" s="62"/>
      <c r="B69" s="62"/>
      <c r="C69" s="62"/>
      <c r="D69" s="62"/>
      <c r="E69" s="62"/>
      <c r="F69" s="62"/>
      <c r="G69" s="62"/>
      <c r="H69" s="62"/>
      <c r="I69" s="62"/>
      <c r="J69" s="62"/>
      <c r="K69" s="62"/>
      <c r="L69" s="62"/>
      <c r="M69" s="62"/>
      <c r="N69" s="62"/>
      <c r="O69" s="62"/>
      <c r="P69" s="62"/>
      <c r="Q69" s="62"/>
      <c r="R69" s="62"/>
      <c r="S69" s="62"/>
      <c r="T69" s="62"/>
      <c r="U69" s="62"/>
      <c r="V69" s="62"/>
      <c r="W69" s="62"/>
      <c r="X69" s="62"/>
    </row>
    <row r="70" spans="1:24">
      <c r="A70" s="62"/>
      <c r="B70" s="62"/>
      <c r="C70" s="62"/>
      <c r="D70" s="62"/>
      <c r="E70" s="62"/>
      <c r="F70" s="62"/>
      <c r="G70" s="62"/>
      <c r="H70" s="62"/>
      <c r="I70" s="62"/>
      <c r="J70" s="62"/>
      <c r="K70" s="62"/>
      <c r="L70" s="62"/>
      <c r="M70" s="62"/>
      <c r="N70" s="62"/>
      <c r="O70" s="62"/>
      <c r="P70" s="62"/>
      <c r="Q70" s="62"/>
      <c r="R70" s="62"/>
      <c r="S70" s="62"/>
      <c r="T70" s="62"/>
      <c r="U70" s="62"/>
      <c r="V70" s="62"/>
      <c r="W70" s="62"/>
      <c r="X70" s="62"/>
    </row>
    <row r="71" spans="1:24">
      <c r="A71" s="62"/>
      <c r="B71" s="62"/>
      <c r="C71" s="62"/>
      <c r="D71" s="62"/>
      <c r="E71" s="62"/>
      <c r="F71" s="62"/>
      <c r="G71" s="62"/>
      <c r="H71" s="62"/>
      <c r="I71" s="62"/>
      <c r="J71" s="62"/>
      <c r="K71" s="62"/>
      <c r="L71" s="62"/>
      <c r="M71" s="62"/>
      <c r="N71" s="62"/>
      <c r="O71" s="62"/>
      <c r="P71" s="62"/>
      <c r="Q71" s="62"/>
      <c r="R71" s="62"/>
      <c r="S71" s="62"/>
      <c r="T71" s="62"/>
      <c r="U71" s="62"/>
      <c r="V71" s="62"/>
      <c r="W71" s="62"/>
      <c r="X71" s="62"/>
    </row>
    <row r="72" spans="1:24">
      <c r="A72" s="62"/>
      <c r="B72" s="62"/>
      <c r="C72" s="62"/>
      <c r="D72" s="62"/>
      <c r="E72" s="62"/>
      <c r="F72" s="62"/>
      <c r="G72" s="62"/>
      <c r="H72" s="62"/>
      <c r="I72" s="62"/>
      <c r="J72" s="62"/>
      <c r="K72" s="62"/>
      <c r="L72" s="62"/>
      <c r="M72" s="62"/>
      <c r="N72" s="62"/>
      <c r="O72" s="62"/>
      <c r="P72" s="62"/>
      <c r="Q72" s="62"/>
      <c r="R72" s="62"/>
      <c r="S72" s="62"/>
      <c r="T72" s="62"/>
      <c r="U72" s="62"/>
      <c r="V72" s="62"/>
      <c r="W72" s="62"/>
      <c r="X72" s="62"/>
    </row>
    <row r="73" spans="1:24">
      <c r="A73" s="62"/>
      <c r="B73" s="62"/>
      <c r="C73" s="62"/>
      <c r="D73" s="62"/>
      <c r="E73" s="62"/>
      <c r="F73" s="62"/>
      <c r="G73" s="62"/>
      <c r="H73" s="62"/>
      <c r="I73" s="62"/>
      <c r="J73" s="62"/>
      <c r="K73" s="62"/>
      <c r="L73" s="62"/>
      <c r="M73" s="62"/>
      <c r="N73" s="62"/>
      <c r="O73" s="62"/>
      <c r="P73" s="62"/>
      <c r="Q73" s="62"/>
      <c r="R73" s="62"/>
      <c r="S73" s="62"/>
      <c r="T73" s="62"/>
      <c r="U73" s="62"/>
      <c r="V73" s="62"/>
      <c r="W73" s="62"/>
      <c r="X73" s="62"/>
    </row>
    <row r="74" spans="1:24">
      <c r="A74" s="62"/>
      <c r="B74" s="62"/>
      <c r="C74" s="62"/>
      <c r="D74" s="62"/>
      <c r="E74" s="62"/>
      <c r="F74" s="62"/>
      <c r="G74" s="62"/>
      <c r="H74" s="62"/>
      <c r="I74" s="62"/>
      <c r="J74" s="62"/>
      <c r="K74" s="62"/>
      <c r="L74" s="62"/>
      <c r="M74" s="62"/>
      <c r="N74" s="62"/>
      <c r="O74" s="62"/>
      <c r="P74" s="62"/>
      <c r="Q74" s="62"/>
      <c r="R74" s="62"/>
      <c r="S74" s="62"/>
      <c r="T74" s="62"/>
      <c r="U74" s="62"/>
      <c r="V74" s="62"/>
      <c r="W74" s="62"/>
      <c r="X74" s="62"/>
    </row>
    <row r="75" spans="1:24">
      <c r="A75" s="62"/>
      <c r="B75" s="62"/>
      <c r="C75" s="62"/>
      <c r="D75" s="62"/>
      <c r="E75" s="62"/>
      <c r="F75" s="62"/>
      <c r="G75" s="62"/>
      <c r="H75" s="62"/>
      <c r="I75" s="62"/>
      <c r="J75" s="62"/>
      <c r="K75" s="62"/>
      <c r="L75" s="62"/>
      <c r="M75" s="62"/>
      <c r="N75" s="62"/>
      <c r="O75" s="62"/>
      <c r="P75" s="62"/>
      <c r="Q75" s="62"/>
      <c r="R75" s="62"/>
      <c r="S75" s="62"/>
      <c r="T75" s="62"/>
      <c r="U75" s="62"/>
      <c r="V75" s="62"/>
      <c r="W75" s="62"/>
      <c r="X75" s="62"/>
    </row>
    <row r="76" spans="1:24">
      <c r="A76" s="62"/>
      <c r="B76" s="62"/>
      <c r="C76" s="62"/>
      <c r="D76" s="62"/>
      <c r="E76" s="62"/>
      <c r="F76" s="62"/>
      <c r="G76" s="62"/>
      <c r="H76" s="62"/>
      <c r="I76" s="62"/>
      <c r="J76" s="62"/>
      <c r="K76" s="62"/>
      <c r="L76" s="62"/>
      <c r="M76" s="62"/>
      <c r="N76" s="62"/>
      <c r="O76" s="62"/>
      <c r="P76" s="62"/>
      <c r="Q76" s="62"/>
      <c r="R76" s="62"/>
      <c r="S76" s="62"/>
      <c r="T76" s="62"/>
      <c r="U76" s="62"/>
      <c r="V76" s="62"/>
      <c r="W76" s="62"/>
      <c r="X76" s="62"/>
    </row>
    <row r="77" spans="1:24">
      <c r="A77" s="62"/>
      <c r="B77" s="62"/>
      <c r="C77" s="62"/>
      <c r="D77" s="62"/>
      <c r="E77" s="62"/>
      <c r="F77" s="62"/>
      <c r="G77" s="62"/>
      <c r="H77" s="62"/>
      <c r="I77" s="62"/>
      <c r="J77" s="62"/>
      <c r="K77" s="62"/>
      <c r="L77" s="62"/>
      <c r="M77" s="62"/>
      <c r="N77" s="62"/>
      <c r="O77" s="62"/>
      <c r="P77" s="62"/>
      <c r="Q77" s="62"/>
      <c r="R77" s="62"/>
      <c r="S77" s="62"/>
      <c r="T77" s="62"/>
      <c r="U77" s="62"/>
      <c r="V77" s="62"/>
      <c r="W77" s="62"/>
      <c r="X77" s="62"/>
    </row>
    <row r="78" spans="1:24">
      <c r="A78" s="62"/>
      <c r="B78" s="62"/>
      <c r="C78" s="62"/>
      <c r="D78" s="62"/>
      <c r="E78" s="62"/>
      <c r="F78" s="62"/>
      <c r="G78" s="62"/>
      <c r="H78" s="62"/>
      <c r="I78" s="62"/>
      <c r="J78" s="62"/>
      <c r="K78" s="62"/>
      <c r="L78" s="62"/>
      <c r="M78" s="62"/>
      <c r="N78" s="62"/>
      <c r="O78" s="62"/>
      <c r="P78" s="62"/>
      <c r="Q78" s="62"/>
      <c r="R78" s="62"/>
      <c r="S78" s="62"/>
      <c r="T78" s="62"/>
      <c r="U78" s="62"/>
      <c r="V78" s="62"/>
      <c r="W78" s="62"/>
      <c r="X78" s="62"/>
    </row>
    <row r="79" spans="1:24">
      <c r="A79" s="62"/>
      <c r="B79" s="62"/>
      <c r="C79" s="62"/>
      <c r="D79" s="62"/>
      <c r="E79" s="62"/>
      <c r="F79" s="62"/>
      <c r="G79" s="62"/>
      <c r="H79" s="62"/>
      <c r="I79" s="62"/>
      <c r="J79" s="62"/>
      <c r="K79" s="62"/>
      <c r="L79" s="62"/>
      <c r="M79" s="62"/>
      <c r="N79" s="62"/>
      <c r="O79" s="62"/>
      <c r="P79" s="62"/>
      <c r="Q79" s="62"/>
      <c r="R79" s="62"/>
      <c r="S79" s="62"/>
      <c r="T79" s="62"/>
      <c r="U79" s="62"/>
      <c r="V79" s="62"/>
      <c r="W79" s="62"/>
      <c r="X79" s="62"/>
    </row>
    <row r="80" spans="1:24">
      <c r="A80" s="62"/>
      <c r="B80" s="62"/>
      <c r="C80" s="62"/>
      <c r="D80" s="62"/>
      <c r="E80" s="62"/>
      <c r="F80" s="62"/>
      <c r="G80" s="62"/>
      <c r="H80" s="62"/>
      <c r="I80" s="62"/>
      <c r="J80" s="62"/>
      <c r="K80" s="62"/>
      <c r="L80" s="62"/>
      <c r="M80" s="62"/>
      <c r="N80" s="62"/>
      <c r="O80" s="62"/>
      <c r="P80" s="62"/>
      <c r="Q80" s="62"/>
      <c r="R80" s="62"/>
      <c r="S80" s="62"/>
      <c r="T80" s="62"/>
      <c r="U80" s="62"/>
      <c r="V80" s="62"/>
      <c r="W80" s="62"/>
      <c r="X80" s="62"/>
    </row>
    <row r="81" spans="1:24">
      <c r="A81" s="62"/>
      <c r="B81" s="62"/>
      <c r="C81" s="62"/>
      <c r="D81" s="62"/>
      <c r="E81" s="62"/>
      <c r="F81" s="62"/>
      <c r="G81" s="62"/>
      <c r="H81" s="62"/>
      <c r="I81" s="62"/>
      <c r="J81" s="62"/>
      <c r="K81" s="62"/>
      <c r="L81" s="62"/>
      <c r="M81" s="62"/>
      <c r="N81" s="62"/>
      <c r="O81" s="62"/>
      <c r="P81" s="62"/>
      <c r="Q81" s="62"/>
      <c r="R81" s="62"/>
      <c r="S81" s="62"/>
      <c r="T81" s="62"/>
      <c r="U81" s="62"/>
      <c r="V81" s="62"/>
      <c r="W81" s="62"/>
      <c r="X81" s="62"/>
    </row>
    <row r="82" spans="1:24">
      <c r="A82" s="62"/>
      <c r="B82" s="62"/>
      <c r="C82" s="62"/>
      <c r="D82" s="62"/>
      <c r="E82" s="62"/>
      <c r="F82" s="62"/>
      <c r="G82" s="62"/>
      <c r="H82" s="62"/>
      <c r="I82" s="62"/>
      <c r="J82" s="62"/>
      <c r="K82" s="62"/>
      <c r="L82" s="62"/>
      <c r="M82" s="62"/>
      <c r="N82" s="62"/>
      <c r="O82" s="62"/>
      <c r="P82" s="62"/>
      <c r="Q82" s="62"/>
      <c r="R82" s="62"/>
      <c r="S82" s="62"/>
      <c r="T82" s="62"/>
      <c r="U82" s="62"/>
      <c r="V82" s="62"/>
      <c r="W82" s="62"/>
      <c r="X82" s="62"/>
    </row>
    <row r="83" spans="1:24">
      <c r="A83" s="62"/>
      <c r="B83" s="62"/>
      <c r="C83" s="62"/>
      <c r="D83" s="62"/>
      <c r="E83" s="62"/>
      <c r="F83" s="62"/>
      <c r="G83" s="62"/>
      <c r="H83" s="62"/>
      <c r="I83" s="62"/>
      <c r="J83" s="62"/>
      <c r="K83" s="62"/>
      <c r="L83" s="62"/>
      <c r="M83" s="62"/>
      <c r="N83" s="62"/>
      <c r="O83" s="62"/>
      <c r="P83" s="62"/>
      <c r="Q83" s="62"/>
      <c r="R83" s="62"/>
      <c r="S83" s="62"/>
      <c r="T83" s="62"/>
      <c r="U83" s="62"/>
      <c r="V83" s="62"/>
      <c r="W83" s="62"/>
      <c r="X83" s="62"/>
    </row>
    <row r="84" spans="1:24" ht="22" customHeight="1">
      <c r="A84" s="96" t="s">
        <v>990</v>
      </c>
      <c r="B84" s="97"/>
      <c r="C84" s="97"/>
      <c r="D84" s="97"/>
      <c r="E84" s="97"/>
      <c r="F84" s="97"/>
      <c r="G84" s="97"/>
      <c r="H84" s="98"/>
      <c r="I84" s="62"/>
      <c r="J84" s="96" t="s">
        <v>991</v>
      </c>
      <c r="K84" s="97"/>
      <c r="L84" s="97"/>
      <c r="M84" s="97"/>
      <c r="N84" s="97"/>
      <c r="O84" s="97"/>
      <c r="P84" s="97"/>
      <c r="Q84" s="98"/>
      <c r="R84" s="62"/>
      <c r="S84" s="62"/>
      <c r="T84" s="62"/>
      <c r="U84" s="62"/>
      <c r="V84" s="62"/>
      <c r="W84" s="62"/>
      <c r="X84" s="62"/>
    </row>
    <row r="85" spans="1:24">
      <c r="A85" s="151" t="s">
        <v>678</v>
      </c>
      <c r="B85" s="148"/>
      <c r="C85" s="148" t="s">
        <v>992</v>
      </c>
      <c r="D85" s="148"/>
      <c r="E85" s="148" t="s">
        <v>993</v>
      </c>
      <c r="F85" s="148"/>
      <c r="G85" s="148"/>
      <c r="H85" s="149"/>
      <c r="I85" s="62"/>
      <c r="J85" s="99" t="s">
        <v>994</v>
      </c>
      <c r="K85" s="148" t="s">
        <v>995</v>
      </c>
      <c r="L85" s="148"/>
      <c r="M85" s="148"/>
      <c r="N85" s="148" t="s">
        <v>996</v>
      </c>
      <c r="O85" s="148"/>
      <c r="P85" s="148"/>
      <c r="Q85" s="149"/>
      <c r="R85" s="62"/>
      <c r="S85" s="62"/>
      <c r="T85" s="62"/>
      <c r="U85" s="62"/>
      <c r="V85" s="62"/>
      <c r="W85" s="62"/>
      <c r="X85" s="62"/>
    </row>
    <row r="86" spans="1:24" ht="58" customHeight="1">
      <c r="A86" s="152" t="s">
        <v>997</v>
      </c>
      <c r="B86" s="150"/>
      <c r="C86" s="150" t="s">
        <v>686</v>
      </c>
      <c r="D86" s="150"/>
      <c r="E86" s="150" t="s">
        <v>998</v>
      </c>
      <c r="F86" s="150"/>
      <c r="G86" s="150"/>
      <c r="H86" s="150"/>
      <c r="I86" s="62"/>
      <c r="J86" s="139">
        <v>1</v>
      </c>
      <c r="K86" s="152" t="s">
        <v>873</v>
      </c>
      <c r="L86" s="150"/>
      <c r="M86" s="150"/>
      <c r="N86" s="150" t="s">
        <v>999</v>
      </c>
      <c r="O86" s="150"/>
      <c r="P86" s="150"/>
      <c r="Q86" s="150"/>
      <c r="R86" s="62"/>
      <c r="S86" s="62"/>
      <c r="T86" s="62"/>
      <c r="U86" s="62"/>
      <c r="V86" s="62"/>
      <c r="W86" s="62"/>
      <c r="X86" s="62"/>
    </row>
    <row r="87" spans="1:24" ht="58" customHeight="1">
      <c r="A87" s="153" t="s">
        <v>815</v>
      </c>
      <c r="B87" s="154"/>
      <c r="C87" s="154" t="s">
        <v>69</v>
      </c>
      <c r="D87" s="154"/>
      <c r="E87" s="154" t="s">
        <v>1000</v>
      </c>
      <c r="F87" s="154"/>
      <c r="G87" s="154"/>
      <c r="H87" s="154"/>
      <c r="I87" s="62"/>
      <c r="J87" s="139">
        <v>2</v>
      </c>
      <c r="K87" s="152" t="s">
        <v>939</v>
      </c>
      <c r="L87" s="150"/>
      <c r="M87" s="150"/>
      <c r="N87" s="150" t="s">
        <v>1001</v>
      </c>
      <c r="O87" s="150"/>
      <c r="P87" s="150"/>
      <c r="Q87" s="150"/>
      <c r="R87" s="62"/>
      <c r="S87" s="62"/>
      <c r="T87" s="62"/>
      <c r="U87" s="62"/>
      <c r="V87" s="62"/>
      <c r="W87" s="62"/>
      <c r="X87" s="62"/>
    </row>
    <row r="88" spans="1:24" ht="58" customHeight="1">
      <c r="A88" s="152" t="s">
        <v>1002</v>
      </c>
      <c r="B88" s="150"/>
      <c r="C88" s="150" t="s">
        <v>756</v>
      </c>
      <c r="D88" s="150"/>
      <c r="E88" s="150" t="s">
        <v>1003</v>
      </c>
      <c r="F88" s="150"/>
      <c r="G88" s="150"/>
      <c r="H88" s="150"/>
      <c r="I88" s="62"/>
      <c r="J88" s="139">
        <v>3</v>
      </c>
      <c r="K88" s="152" t="s">
        <v>979</v>
      </c>
      <c r="L88" s="150"/>
      <c r="M88" s="150"/>
      <c r="N88" s="150" t="s">
        <v>1004</v>
      </c>
      <c r="O88" s="150"/>
      <c r="P88" s="150"/>
      <c r="Q88" s="150"/>
      <c r="R88" s="62"/>
      <c r="S88" s="62"/>
      <c r="T88" s="62"/>
      <c r="U88" s="62"/>
      <c r="V88" s="62"/>
      <c r="W88" s="62"/>
      <c r="X88" s="62"/>
    </row>
    <row r="89" spans="1:24" ht="58" customHeight="1">
      <c r="A89" s="152" t="s">
        <v>1005</v>
      </c>
      <c r="B89" s="150"/>
      <c r="C89" s="150" t="s">
        <v>72</v>
      </c>
      <c r="D89" s="150"/>
      <c r="E89" s="150" t="s">
        <v>1006</v>
      </c>
      <c r="F89" s="150"/>
      <c r="G89" s="150"/>
      <c r="H89" s="150"/>
      <c r="I89" s="62"/>
      <c r="J89" s="139">
        <v>4</v>
      </c>
      <c r="K89" s="152" t="s">
        <v>944</v>
      </c>
      <c r="L89" s="150"/>
      <c r="M89" s="150"/>
      <c r="N89" s="150" t="s">
        <v>1007</v>
      </c>
      <c r="O89" s="150"/>
      <c r="P89" s="150"/>
      <c r="Q89" s="150"/>
      <c r="R89" s="62"/>
      <c r="S89" s="62"/>
      <c r="T89" s="62"/>
      <c r="U89" s="62"/>
      <c r="V89" s="62"/>
      <c r="W89" s="62"/>
      <c r="X89" s="62"/>
    </row>
    <row r="90" spans="1:24" ht="58" customHeight="1">
      <c r="A90" s="152" t="s">
        <v>1008</v>
      </c>
      <c r="B90" s="150"/>
      <c r="C90" s="150" t="s">
        <v>72</v>
      </c>
      <c r="D90" s="150"/>
      <c r="E90" s="150" t="s">
        <v>1009</v>
      </c>
      <c r="F90" s="150"/>
      <c r="G90" s="150"/>
      <c r="H90" s="150"/>
      <c r="I90" s="62"/>
      <c r="J90" s="139">
        <v>5</v>
      </c>
      <c r="K90" s="152" t="s">
        <v>986</v>
      </c>
      <c r="L90" s="150"/>
      <c r="M90" s="150"/>
      <c r="N90" s="150" t="s">
        <v>1010</v>
      </c>
      <c r="O90" s="150"/>
      <c r="P90" s="150"/>
      <c r="Q90" s="150"/>
      <c r="R90" s="62"/>
      <c r="S90" s="62"/>
      <c r="T90" s="62"/>
      <c r="U90" s="62"/>
      <c r="V90" s="62"/>
      <c r="W90" s="62"/>
      <c r="X90" s="62"/>
    </row>
    <row r="91" spans="1:24" ht="58" customHeight="1">
      <c r="A91" s="152" t="s">
        <v>1011</v>
      </c>
      <c r="B91" s="150"/>
      <c r="C91" s="150" t="s">
        <v>1012</v>
      </c>
      <c r="D91" s="150"/>
      <c r="E91" s="150" t="s">
        <v>1013</v>
      </c>
      <c r="F91" s="150"/>
      <c r="G91" s="150"/>
      <c r="H91" s="150"/>
      <c r="I91" s="62"/>
      <c r="J91" s="139">
        <v>6</v>
      </c>
      <c r="K91" s="152" t="s">
        <v>875</v>
      </c>
      <c r="L91" s="150"/>
      <c r="M91" s="150"/>
      <c r="N91" s="150" t="s">
        <v>1014</v>
      </c>
      <c r="O91" s="150"/>
      <c r="P91" s="150"/>
      <c r="Q91" s="150"/>
      <c r="R91" s="62"/>
      <c r="S91" s="62"/>
      <c r="T91" s="62"/>
      <c r="U91" s="62"/>
      <c r="V91" s="62"/>
      <c r="W91" s="62"/>
      <c r="X91" s="62"/>
    </row>
    <row r="92" spans="1:24" ht="58" customHeight="1">
      <c r="A92" s="152" t="s">
        <v>754</v>
      </c>
      <c r="B92" s="150"/>
      <c r="C92" s="150" t="s">
        <v>756</v>
      </c>
      <c r="D92" s="150"/>
      <c r="E92" s="150" t="s">
        <v>1015</v>
      </c>
      <c r="F92" s="150"/>
      <c r="G92" s="150"/>
      <c r="H92" s="150"/>
      <c r="I92" s="62"/>
      <c r="J92" s="139">
        <v>7</v>
      </c>
      <c r="K92" s="152" t="s">
        <v>870</v>
      </c>
      <c r="L92" s="150"/>
      <c r="M92" s="150"/>
      <c r="N92" s="150" t="s">
        <v>1016</v>
      </c>
      <c r="O92" s="150"/>
      <c r="P92" s="150"/>
      <c r="Q92" s="150"/>
      <c r="R92" s="62"/>
      <c r="S92" s="62"/>
      <c r="T92" s="62"/>
      <c r="U92" s="62"/>
      <c r="V92" s="62"/>
      <c r="W92" s="62"/>
      <c r="X92" s="62"/>
    </row>
    <row r="93" spans="1:24" ht="42" customHeight="1">
      <c r="A93" s="152" t="s">
        <v>1017</v>
      </c>
      <c r="B93" s="150"/>
      <c r="C93" s="150" t="s">
        <v>822</v>
      </c>
      <c r="D93" s="150"/>
      <c r="E93" s="150" t="s">
        <v>1018</v>
      </c>
      <c r="F93" s="150"/>
      <c r="G93" s="150"/>
      <c r="H93" s="150"/>
      <c r="I93" s="62"/>
      <c r="J93" s="155" t="s">
        <v>1019</v>
      </c>
      <c r="K93" s="155"/>
      <c r="L93" s="155"/>
      <c r="M93" s="155"/>
      <c r="N93" s="155"/>
      <c r="O93" s="155"/>
      <c r="P93" s="155"/>
      <c r="Q93" s="155"/>
      <c r="R93" s="62"/>
      <c r="S93" s="62"/>
      <c r="T93" s="62"/>
      <c r="U93" s="62"/>
      <c r="V93" s="62"/>
      <c r="W93" s="62"/>
      <c r="X93" s="62"/>
    </row>
    <row r="94" spans="1:24">
      <c r="A94" s="62"/>
      <c r="B94" s="62"/>
      <c r="C94" s="62"/>
      <c r="D94" s="62"/>
      <c r="E94" s="62"/>
      <c r="F94" s="62"/>
      <c r="G94" s="62"/>
      <c r="H94" s="62"/>
      <c r="I94" s="62"/>
      <c r="J94" s="62"/>
      <c r="K94" s="62"/>
      <c r="L94" s="62"/>
      <c r="M94" s="62"/>
      <c r="N94" s="62"/>
      <c r="O94" s="62"/>
      <c r="P94" s="62"/>
      <c r="Q94" s="62"/>
      <c r="R94" s="62"/>
      <c r="S94" s="62"/>
      <c r="T94" s="62"/>
      <c r="U94" s="62"/>
      <c r="V94" s="62"/>
      <c r="W94" s="62"/>
      <c r="X94" s="62"/>
    </row>
    <row r="95" spans="1:24">
      <c r="A95" s="62"/>
      <c r="B95" s="62"/>
      <c r="C95" s="62"/>
      <c r="D95" s="62"/>
      <c r="E95" s="62"/>
      <c r="F95" s="62"/>
      <c r="G95" s="62"/>
      <c r="H95" s="62"/>
      <c r="I95" s="62"/>
      <c r="J95" s="62"/>
      <c r="K95" s="62"/>
      <c r="L95" s="62"/>
      <c r="M95" s="62"/>
      <c r="N95" s="62"/>
      <c r="O95" s="62"/>
      <c r="P95" s="62"/>
      <c r="Q95" s="62"/>
      <c r="R95" s="62"/>
      <c r="S95" s="62"/>
      <c r="T95" s="62"/>
      <c r="U95" s="62"/>
      <c r="V95" s="62"/>
      <c r="W95" s="62"/>
      <c r="X95" s="62"/>
    </row>
    <row r="96" spans="1:24" ht="22" customHeight="1">
      <c r="A96" s="96" t="s">
        <v>1020</v>
      </c>
      <c r="B96" s="97"/>
      <c r="C96" s="97"/>
      <c r="D96" s="97"/>
      <c r="E96" s="97"/>
      <c r="F96" s="97"/>
      <c r="G96" s="97"/>
      <c r="H96" s="97"/>
      <c r="I96" s="97"/>
      <c r="J96" s="97"/>
      <c r="K96" s="97"/>
      <c r="L96" s="97"/>
      <c r="M96" s="97"/>
      <c r="N96" s="97"/>
      <c r="O96" s="97"/>
      <c r="P96" s="97"/>
      <c r="Q96" s="98"/>
      <c r="R96" s="62"/>
      <c r="S96" s="62"/>
      <c r="T96" s="62"/>
      <c r="U96" s="62"/>
      <c r="V96" s="62"/>
      <c r="W96" s="62"/>
      <c r="X96" s="62"/>
    </row>
    <row r="97" spans="1:24">
      <c r="A97" s="151" t="s">
        <v>1021</v>
      </c>
      <c r="B97" s="148"/>
      <c r="C97" s="148"/>
      <c r="D97" s="148" t="s">
        <v>1022</v>
      </c>
      <c r="E97" s="148"/>
      <c r="F97" s="148"/>
      <c r="G97" s="148"/>
      <c r="H97" s="148"/>
      <c r="I97" s="148"/>
      <c r="J97" s="148"/>
      <c r="K97" s="148"/>
      <c r="L97" s="148"/>
      <c r="M97" s="148"/>
      <c r="N97" s="148"/>
      <c r="O97" s="148"/>
      <c r="P97" s="148"/>
      <c r="Q97" s="149"/>
      <c r="R97" s="62"/>
      <c r="S97" s="62"/>
      <c r="T97" s="62"/>
      <c r="U97" s="62"/>
      <c r="V97" s="62"/>
      <c r="W97" s="62"/>
      <c r="X97" s="62"/>
    </row>
    <row r="98" spans="1:24" ht="76" customHeight="1">
      <c r="A98" s="152" t="s">
        <v>1023</v>
      </c>
      <c r="B98" s="150"/>
      <c r="C98" s="150"/>
      <c r="D98" s="150" t="s">
        <v>1024</v>
      </c>
      <c r="E98" s="150"/>
      <c r="F98" s="150"/>
      <c r="G98" s="150"/>
      <c r="H98" s="150"/>
      <c r="I98" s="150"/>
      <c r="J98" s="150"/>
      <c r="K98" s="150"/>
      <c r="L98" s="150"/>
      <c r="M98" s="150"/>
      <c r="N98" s="150"/>
      <c r="O98" s="150"/>
      <c r="P98" s="150"/>
      <c r="Q98" s="150"/>
      <c r="R98" s="62"/>
      <c r="S98" s="62"/>
      <c r="T98" s="62"/>
      <c r="U98" s="62"/>
      <c r="V98" s="62"/>
      <c r="W98" s="62"/>
      <c r="X98" s="62"/>
    </row>
    <row r="99" spans="1:24" ht="76" customHeight="1">
      <c r="A99" s="152" t="s">
        <v>1025</v>
      </c>
      <c r="B99" s="150"/>
      <c r="C99" s="150"/>
      <c r="D99" s="150" t="s">
        <v>1026</v>
      </c>
      <c r="E99" s="150"/>
      <c r="F99" s="150"/>
      <c r="G99" s="150"/>
      <c r="H99" s="150"/>
      <c r="I99" s="150"/>
      <c r="J99" s="150"/>
      <c r="K99" s="150"/>
      <c r="L99" s="150"/>
      <c r="M99" s="150"/>
      <c r="N99" s="150"/>
      <c r="O99" s="150"/>
      <c r="P99" s="150"/>
      <c r="Q99" s="150"/>
      <c r="R99" s="62"/>
      <c r="S99" s="62"/>
      <c r="T99" s="62"/>
      <c r="U99" s="62"/>
      <c r="V99" s="62"/>
      <c r="W99" s="62"/>
      <c r="X99" s="62"/>
    </row>
    <row r="100" spans="1:24" ht="76" customHeight="1">
      <c r="A100" s="152" t="s">
        <v>1027</v>
      </c>
      <c r="B100" s="150"/>
      <c r="C100" s="150"/>
      <c r="D100" s="150" t="s">
        <v>1028</v>
      </c>
      <c r="E100" s="150"/>
      <c r="F100" s="150"/>
      <c r="G100" s="150"/>
      <c r="H100" s="150"/>
      <c r="I100" s="150"/>
      <c r="J100" s="150"/>
      <c r="K100" s="150"/>
      <c r="L100" s="150"/>
      <c r="M100" s="150"/>
      <c r="N100" s="150"/>
      <c r="O100" s="150"/>
      <c r="P100" s="150"/>
      <c r="Q100" s="150"/>
      <c r="R100" s="62"/>
      <c r="S100" s="62"/>
      <c r="T100" s="62"/>
      <c r="U100" s="62"/>
      <c r="V100" s="62"/>
      <c r="W100" s="62"/>
      <c r="X100" s="62"/>
    </row>
    <row r="101" spans="1:24" ht="76" customHeight="1">
      <c r="A101" s="152" t="s">
        <v>1029</v>
      </c>
      <c r="B101" s="150"/>
      <c r="C101" s="150"/>
      <c r="D101" s="150" t="s">
        <v>1030</v>
      </c>
      <c r="E101" s="150"/>
      <c r="F101" s="150"/>
      <c r="G101" s="150"/>
      <c r="H101" s="150"/>
      <c r="I101" s="150"/>
      <c r="J101" s="150"/>
      <c r="K101" s="150"/>
      <c r="L101" s="150"/>
      <c r="M101" s="150"/>
      <c r="N101" s="150"/>
      <c r="O101" s="150"/>
      <c r="P101" s="150"/>
      <c r="Q101" s="150"/>
      <c r="R101" s="62"/>
      <c r="S101" s="62"/>
      <c r="T101" s="62"/>
      <c r="U101" s="62"/>
      <c r="V101" s="62"/>
      <c r="W101" s="62"/>
      <c r="X101" s="62"/>
    </row>
    <row r="102" spans="1:24" ht="76" customHeight="1">
      <c r="A102" s="152" t="s">
        <v>1031</v>
      </c>
      <c r="B102" s="150"/>
      <c r="C102" s="150"/>
      <c r="D102" s="150" t="s">
        <v>1032</v>
      </c>
      <c r="E102" s="150"/>
      <c r="F102" s="150"/>
      <c r="G102" s="150"/>
      <c r="H102" s="150"/>
      <c r="I102" s="150"/>
      <c r="J102" s="150"/>
      <c r="K102" s="150"/>
      <c r="L102" s="150"/>
      <c r="M102" s="150"/>
      <c r="N102" s="150"/>
      <c r="O102" s="150"/>
      <c r="P102" s="150"/>
      <c r="Q102" s="150"/>
      <c r="R102" s="62"/>
      <c r="S102" s="62"/>
      <c r="T102" s="62"/>
      <c r="U102" s="62"/>
      <c r="V102" s="62"/>
      <c r="W102" s="62"/>
      <c r="X102" s="62"/>
    </row>
    <row r="103" spans="1:24" ht="76" customHeight="1">
      <c r="A103" s="152" t="s">
        <v>1033</v>
      </c>
      <c r="B103" s="150"/>
      <c r="C103" s="150"/>
      <c r="D103" s="150" t="s">
        <v>1034</v>
      </c>
      <c r="E103" s="150"/>
      <c r="F103" s="150"/>
      <c r="G103" s="150"/>
      <c r="H103" s="150"/>
      <c r="I103" s="150"/>
      <c r="J103" s="150"/>
      <c r="K103" s="150"/>
      <c r="L103" s="150"/>
      <c r="M103" s="150"/>
      <c r="N103" s="150"/>
      <c r="O103" s="150"/>
      <c r="P103" s="150"/>
      <c r="Q103" s="150"/>
      <c r="R103" s="62"/>
      <c r="S103" s="62"/>
      <c r="T103" s="62"/>
      <c r="U103" s="62"/>
      <c r="V103" s="62"/>
      <c r="W103" s="62"/>
      <c r="X103" s="62"/>
    </row>
    <row r="104" spans="1:2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row>
    <row r="105" spans="1:24" ht="22" customHeight="1">
      <c r="A105" s="96" t="s">
        <v>1035</v>
      </c>
      <c r="B105" s="97"/>
      <c r="C105" s="97"/>
      <c r="D105" s="97"/>
      <c r="E105" s="97"/>
      <c r="F105" s="97"/>
      <c r="G105" s="97"/>
      <c r="H105" s="97"/>
      <c r="I105" s="97"/>
      <c r="J105" s="97"/>
      <c r="K105" s="97"/>
      <c r="L105" s="97"/>
      <c r="M105" s="97"/>
      <c r="N105" s="97"/>
      <c r="O105" s="97"/>
      <c r="P105" s="97"/>
      <c r="Q105" s="98"/>
      <c r="R105" s="62"/>
      <c r="S105" s="62"/>
      <c r="T105" s="62"/>
      <c r="U105" s="62"/>
      <c r="V105" s="62"/>
      <c r="W105" s="62"/>
      <c r="X105" s="62"/>
    </row>
    <row r="106" spans="1:24" ht="54" customHeight="1">
      <c r="A106" s="156" t="s">
        <v>1036</v>
      </c>
      <c r="B106" s="157"/>
      <c r="C106" s="157"/>
      <c r="D106" s="157"/>
      <c r="E106" s="157"/>
      <c r="F106" s="157"/>
      <c r="G106" s="157"/>
      <c r="H106" s="157"/>
      <c r="I106" s="157"/>
      <c r="J106" s="157"/>
      <c r="K106" s="157"/>
      <c r="L106" s="157"/>
      <c r="M106" s="157"/>
      <c r="N106" s="157"/>
      <c r="O106" s="157"/>
      <c r="P106" s="157"/>
      <c r="Q106" s="158"/>
      <c r="R106" s="62"/>
      <c r="S106" s="62"/>
      <c r="T106" s="62"/>
      <c r="U106" s="62"/>
      <c r="V106" s="62"/>
      <c r="W106" s="62"/>
      <c r="X106" s="62"/>
    </row>
    <row r="107" spans="1:24" ht="54" customHeight="1">
      <c r="A107" s="159"/>
      <c r="B107" s="160"/>
      <c r="C107" s="160"/>
      <c r="D107" s="160"/>
      <c r="E107" s="160"/>
      <c r="F107" s="160"/>
      <c r="G107" s="160"/>
      <c r="H107" s="160"/>
      <c r="I107" s="160"/>
      <c r="J107" s="160"/>
      <c r="K107" s="160"/>
      <c r="L107" s="160"/>
      <c r="M107" s="160"/>
      <c r="N107" s="160"/>
      <c r="O107" s="160"/>
      <c r="P107" s="160"/>
      <c r="Q107" s="161"/>
      <c r="R107" s="62"/>
      <c r="S107" s="62"/>
      <c r="T107" s="62"/>
      <c r="U107" s="62"/>
      <c r="V107" s="62"/>
      <c r="W107" s="62"/>
      <c r="X107" s="62"/>
    </row>
    <row r="108" spans="1:24">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row>
    <row r="109" spans="1:24">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row>
    <row r="110" spans="1:24">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row>
  </sheetData>
  <mergeCells count="69">
    <mergeCell ref="A106:Q107"/>
    <mergeCell ref="A101:C101"/>
    <mergeCell ref="D101:Q101"/>
    <mergeCell ref="A102:C102"/>
    <mergeCell ref="D102:Q102"/>
    <mergeCell ref="A103:C103"/>
    <mergeCell ref="D103:Q103"/>
    <mergeCell ref="A98:C98"/>
    <mergeCell ref="D98:Q98"/>
    <mergeCell ref="A99:C99"/>
    <mergeCell ref="D99:Q99"/>
    <mergeCell ref="A100:C100"/>
    <mergeCell ref="D100:Q100"/>
    <mergeCell ref="N91:Q91"/>
    <mergeCell ref="K92:M92"/>
    <mergeCell ref="N92:Q92"/>
    <mergeCell ref="J93:Q93"/>
    <mergeCell ref="A97:C97"/>
    <mergeCell ref="D97:Q97"/>
    <mergeCell ref="A93:B93"/>
    <mergeCell ref="C93:D93"/>
    <mergeCell ref="E93:H93"/>
    <mergeCell ref="K85:M85"/>
    <mergeCell ref="N85:Q85"/>
    <mergeCell ref="K86:M86"/>
    <mergeCell ref="N86:Q86"/>
    <mergeCell ref="K87:M87"/>
    <mergeCell ref="N87:Q87"/>
    <mergeCell ref="K88:M88"/>
    <mergeCell ref="N88:Q88"/>
    <mergeCell ref="K89:M89"/>
    <mergeCell ref="N89:Q89"/>
    <mergeCell ref="K90:M90"/>
    <mergeCell ref="N90:Q90"/>
    <mergeCell ref="K91:M91"/>
    <mergeCell ref="A91:B91"/>
    <mergeCell ref="C91:D91"/>
    <mergeCell ref="E91:H91"/>
    <mergeCell ref="A92:B92"/>
    <mergeCell ref="C92:D92"/>
    <mergeCell ref="E92:H92"/>
    <mergeCell ref="A89:B89"/>
    <mergeCell ref="C89:D89"/>
    <mergeCell ref="E89:H89"/>
    <mergeCell ref="A90:B90"/>
    <mergeCell ref="C90:D90"/>
    <mergeCell ref="E90:H90"/>
    <mergeCell ref="A87:B87"/>
    <mergeCell ref="C87:D87"/>
    <mergeCell ref="E87:H87"/>
    <mergeCell ref="A88:B88"/>
    <mergeCell ref="C88:D88"/>
    <mergeCell ref="E88:H88"/>
    <mergeCell ref="A85:B85"/>
    <mergeCell ref="C85:D85"/>
    <mergeCell ref="E85:H85"/>
    <mergeCell ref="A86:B86"/>
    <mergeCell ref="C86:D86"/>
    <mergeCell ref="E86:H86"/>
    <mergeCell ref="K8:Q8"/>
    <mergeCell ref="K9:Q9"/>
    <mergeCell ref="K10:Q10"/>
    <mergeCell ref="K11:Q11"/>
    <mergeCell ref="K12:Q12"/>
    <mergeCell ref="A1:I1"/>
    <mergeCell ref="A2:I2"/>
    <mergeCell ref="K5:Q5"/>
    <mergeCell ref="K6:Q6"/>
    <mergeCell ref="K7:Q7"/>
  </mergeCells>
  <conditionalFormatting sqref="B6:I17">
    <cfRule type="containsText" dxfId="0" priority="1" operator="containsText" text="N/A"/>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NTT DATA Financials</vt:lpstr>
      <vt:lpstr>Working Capital</vt:lpstr>
      <vt:lpstr>Cash Flow</vt:lpstr>
      <vt:lpstr>Segments</vt:lpstr>
      <vt:lpstr>Orders &amp; Backlog</vt:lpstr>
      <vt:lpstr>Debt &amp; Financing</vt:lpstr>
      <vt:lpstr>Acq &amp; Structural Changes</vt:lpstr>
      <vt:lpstr>Qualitative Evidence</vt:lpstr>
      <vt:lpstr>Sources</vt:lpstr>
      <vt:lpstr>Assumptions &amp; Limitations</vt:lpstr>
      <vt:lpstr>Model Setup</vt:lpstr>
      <vt:lpstr>Model</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 Ngo</cp:lastModifiedBy>
  <dcterms:modified xsi:type="dcterms:W3CDTF">2026-09-19T16:16:42Z</dcterms:modified>
</cp:coreProperties>
</file>